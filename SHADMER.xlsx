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Shadrack Appiah\Downloads\"/>
    </mc:Choice>
  </mc:AlternateContent>
  <xr:revisionPtr revIDLastSave="0" documentId="13_ncr:1_{D229CBBF-89A3-444F-8615-AD7BAABF8BE7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ventory" sheetId="1" r:id="rId1"/>
    <sheet name="Sales" sheetId="2" r:id="rId2"/>
    <sheet name="Purchases" sheetId="3" r:id="rId3"/>
    <sheet name="Expenses" sheetId="4" r:id="rId4"/>
    <sheet name="Dashboard" sheetId="5" r:id="rId5"/>
    <sheet name="Monthly Analysis" sheetId="6" r:id="rId6"/>
    <sheet name="POS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7" l="1"/>
  <c r="B6" i="7" s="1"/>
  <c r="E2" i="2"/>
  <c r="F2" i="2" s="1"/>
  <c r="E3" i="2"/>
  <c r="F3" i="2" s="1"/>
  <c r="E4" i="2"/>
  <c r="F4" i="2" s="1"/>
  <c r="E5" i="2"/>
  <c r="F5" i="2" s="1"/>
  <c r="B4" i="5"/>
  <c r="E499" i="3"/>
  <c r="F499" i="3" s="1"/>
  <c r="C499" i="3"/>
  <c r="E498" i="3"/>
  <c r="F498" i="3" s="1"/>
  <c r="C498" i="3"/>
  <c r="E497" i="3"/>
  <c r="F497" i="3" s="1"/>
  <c r="C497" i="3"/>
  <c r="E496" i="3"/>
  <c r="F496" i="3" s="1"/>
  <c r="C496" i="3"/>
  <c r="E495" i="3"/>
  <c r="F495" i="3" s="1"/>
  <c r="C495" i="3"/>
  <c r="E494" i="3"/>
  <c r="F494" i="3" s="1"/>
  <c r="C494" i="3"/>
  <c r="E493" i="3"/>
  <c r="F493" i="3" s="1"/>
  <c r="C493" i="3"/>
  <c r="E492" i="3"/>
  <c r="F492" i="3" s="1"/>
  <c r="C492" i="3"/>
  <c r="E491" i="3"/>
  <c r="F491" i="3" s="1"/>
  <c r="C491" i="3"/>
  <c r="E490" i="3"/>
  <c r="F490" i="3" s="1"/>
  <c r="C490" i="3"/>
  <c r="E489" i="3"/>
  <c r="F489" i="3" s="1"/>
  <c r="C489" i="3"/>
  <c r="E488" i="3"/>
  <c r="F488" i="3" s="1"/>
  <c r="C488" i="3"/>
  <c r="E487" i="3"/>
  <c r="F487" i="3" s="1"/>
  <c r="C487" i="3"/>
  <c r="E486" i="3"/>
  <c r="F486" i="3" s="1"/>
  <c r="C486" i="3"/>
  <c r="E485" i="3"/>
  <c r="F485" i="3" s="1"/>
  <c r="C485" i="3"/>
  <c r="E484" i="3"/>
  <c r="F484" i="3" s="1"/>
  <c r="C484" i="3"/>
  <c r="E483" i="3"/>
  <c r="F483" i="3" s="1"/>
  <c r="C483" i="3"/>
  <c r="E482" i="3"/>
  <c r="F482" i="3" s="1"/>
  <c r="C482" i="3"/>
  <c r="E481" i="3"/>
  <c r="F481" i="3" s="1"/>
  <c r="C481" i="3"/>
  <c r="E480" i="3"/>
  <c r="F480" i="3" s="1"/>
  <c r="C480" i="3"/>
  <c r="E479" i="3"/>
  <c r="F479" i="3" s="1"/>
  <c r="C479" i="3"/>
  <c r="E478" i="3"/>
  <c r="F478" i="3" s="1"/>
  <c r="C478" i="3"/>
  <c r="E477" i="3"/>
  <c r="F477" i="3" s="1"/>
  <c r="C477" i="3"/>
  <c r="E476" i="3"/>
  <c r="F476" i="3" s="1"/>
  <c r="C476" i="3"/>
  <c r="E475" i="3"/>
  <c r="F475" i="3" s="1"/>
  <c r="C475" i="3"/>
  <c r="E474" i="3"/>
  <c r="F474" i="3" s="1"/>
  <c r="C474" i="3"/>
  <c r="E473" i="3"/>
  <c r="F473" i="3" s="1"/>
  <c r="C473" i="3"/>
  <c r="E472" i="3"/>
  <c r="F472" i="3" s="1"/>
  <c r="C472" i="3"/>
  <c r="E471" i="3"/>
  <c r="F471" i="3" s="1"/>
  <c r="C471" i="3"/>
  <c r="E470" i="3"/>
  <c r="F470" i="3" s="1"/>
  <c r="C470" i="3"/>
  <c r="E469" i="3"/>
  <c r="F469" i="3" s="1"/>
  <c r="C469" i="3"/>
  <c r="E468" i="3"/>
  <c r="F468" i="3" s="1"/>
  <c r="C468" i="3"/>
  <c r="E467" i="3"/>
  <c r="F467" i="3" s="1"/>
  <c r="C467" i="3"/>
  <c r="E466" i="3"/>
  <c r="F466" i="3" s="1"/>
  <c r="C466" i="3"/>
  <c r="E465" i="3"/>
  <c r="F465" i="3" s="1"/>
  <c r="C465" i="3"/>
  <c r="E464" i="3"/>
  <c r="F464" i="3" s="1"/>
  <c r="C464" i="3"/>
  <c r="E463" i="3"/>
  <c r="F463" i="3" s="1"/>
  <c r="C463" i="3"/>
  <c r="E462" i="3"/>
  <c r="F462" i="3" s="1"/>
  <c r="C462" i="3"/>
  <c r="E461" i="3"/>
  <c r="F461" i="3" s="1"/>
  <c r="C461" i="3"/>
  <c r="E460" i="3"/>
  <c r="F460" i="3" s="1"/>
  <c r="C460" i="3"/>
  <c r="E459" i="3"/>
  <c r="F459" i="3" s="1"/>
  <c r="C459" i="3"/>
  <c r="E458" i="3"/>
  <c r="F458" i="3" s="1"/>
  <c r="C458" i="3"/>
  <c r="E457" i="3"/>
  <c r="F457" i="3" s="1"/>
  <c r="C457" i="3"/>
  <c r="E456" i="3"/>
  <c r="F456" i="3" s="1"/>
  <c r="C456" i="3"/>
  <c r="E455" i="3"/>
  <c r="F455" i="3" s="1"/>
  <c r="C455" i="3"/>
  <c r="E454" i="3"/>
  <c r="F454" i="3" s="1"/>
  <c r="C454" i="3"/>
  <c r="E453" i="3"/>
  <c r="F453" i="3" s="1"/>
  <c r="C453" i="3"/>
  <c r="E452" i="3"/>
  <c r="F452" i="3" s="1"/>
  <c r="C452" i="3"/>
  <c r="E451" i="3"/>
  <c r="F451" i="3" s="1"/>
  <c r="C451" i="3"/>
  <c r="E450" i="3"/>
  <c r="F450" i="3" s="1"/>
  <c r="C450" i="3"/>
  <c r="E449" i="3"/>
  <c r="F449" i="3" s="1"/>
  <c r="C449" i="3"/>
  <c r="E448" i="3"/>
  <c r="F448" i="3" s="1"/>
  <c r="C448" i="3"/>
  <c r="E447" i="3"/>
  <c r="F447" i="3" s="1"/>
  <c r="C447" i="3"/>
  <c r="E446" i="3"/>
  <c r="F446" i="3" s="1"/>
  <c r="C446" i="3"/>
  <c r="E445" i="3"/>
  <c r="F445" i="3" s="1"/>
  <c r="C445" i="3"/>
  <c r="E444" i="3"/>
  <c r="F444" i="3" s="1"/>
  <c r="C444" i="3"/>
  <c r="E443" i="3"/>
  <c r="F443" i="3" s="1"/>
  <c r="C443" i="3"/>
  <c r="E442" i="3"/>
  <c r="F442" i="3" s="1"/>
  <c r="C442" i="3"/>
  <c r="E441" i="3"/>
  <c r="F441" i="3" s="1"/>
  <c r="C441" i="3"/>
  <c r="E440" i="3"/>
  <c r="F440" i="3" s="1"/>
  <c r="C440" i="3"/>
  <c r="E439" i="3"/>
  <c r="F439" i="3" s="1"/>
  <c r="C439" i="3"/>
  <c r="E438" i="3"/>
  <c r="F438" i="3" s="1"/>
  <c r="C438" i="3"/>
  <c r="E437" i="3"/>
  <c r="F437" i="3" s="1"/>
  <c r="C437" i="3"/>
  <c r="E436" i="3"/>
  <c r="F436" i="3" s="1"/>
  <c r="C436" i="3"/>
  <c r="E435" i="3"/>
  <c r="F435" i="3" s="1"/>
  <c r="C435" i="3"/>
  <c r="E434" i="3"/>
  <c r="F434" i="3" s="1"/>
  <c r="C434" i="3"/>
  <c r="E433" i="3"/>
  <c r="F433" i="3" s="1"/>
  <c r="C433" i="3"/>
  <c r="E432" i="3"/>
  <c r="F432" i="3" s="1"/>
  <c r="C432" i="3"/>
  <c r="E431" i="3"/>
  <c r="F431" i="3" s="1"/>
  <c r="C431" i="3"/>
  <c r="E430" i="3"/>
  <c r="F430" i="3" s="1"/>
  <c r="C430" i="3"/>
  <c r="E429" i="3"/>
  <c r="F429" i="3" s="1"/>
  <c r="C429" i="3"/>
  <c r="E428" i="3"/>
  <c r="F428" i="3" s="1"/>
  <c r="C428" i="3"/>
  <c r="E427" i="3"/>
  <c r="F427" i="3" s="1"/>
  <c r="C427" i="3"/>
  <c r="E426" i="3"/>
  <c r="F426" i="3" s="1"/>
  <c r="C426" i="3"/>
  <c r="E425" i="3"/>
  <c r="F425" i="3" s="1"/>
  <c r="C425" i="3"/>
  <c r="E424" i="3"/>
  <c r="F424" i="3" s="1"/>
  <c r="C424" i="3"/>
  <c r="E423" i="3"/>
  <c r="F423" i="3" s="1"/>
  <c r="C423" i="3"/>
  <c r="E422" i="3"/>
  <c r="F422" i="3" s="1"/>
  <c r="C422" i="3"/>
  <c r="E421" i="3"/>
  <c r="F421" i="3" s="1"/>
  <c r="C421" i="3"/>
  <c r="E420" i="3"/>
  <c r="F420" i="3" s="1"/>
  <c r="C420" i="3"/>
  <c r="E419" i="3"/>
  <c r="F419" i="3" s="1"/>
  <c r="C419" i="3"/>
  <c r="E418" i="3"/>
  <c r="F418" i="3" s="1"/>
  <c r="C418" i="3"/>
  <c r="E417" i="3"/>
  <c r="F417" i="3" s="1"/>
  <c r="C417" i="3"/>
  <c r="E416" i="3"/>
  <c r="F416" i="3" s="1"/>
  <c r="C416" i="3"/>
  <c r="E415" i="3"/>
  <c r="F415" i="3" s="1"/>
  <c r="C415" i="3"/>
  <c r="E414" i="3"/>
  <c r="F414" i="3" s="1"/>
  <c r="C414" i="3"/>
  <c r="E413" i="3"/>
  <c r="F413" i="3" s="1"/>
  <c r="C413" i="3"/>
  <c r="E412" i="3"/>
  <c r="F412" i="3" s="1"/>
  <c r="C412" i="3"/>
  <c r="E411" i="3"/>
  <c r="F411" i="3" s="1"/>
  <c r="C411" i="3"/>
  <c r="E410" i="3"/>
  <c r="F410" i="3" s="1"/>
  <c r="C410" i="3"/>
  <c r="E409" i="3"/>
  <c r="F409" i="3" s="1"/>
  <c r="C409" i="3"/>
  <c r="E408" i="3"/>
  <c r="F408" i="3" s="1"/>
  <c r="C408" i="3"/>
  <c r="E407" i="3"/>
  <c r="F407" i="3" s="1"/>
  <c r="C407" i="3"/>
  <c r="E406" i="3"/>
  <c r="F406" i="3" s="1"/>
  <c r="C406" i="3"/>
  <c r="E405" i="3"/>
  <c r="F405" i="3" s="1"/>
  <c r="C405" i="3"/>
  <c r="E404" i="3"/>
  <c r="F404" i="3" s="1"/>
  <c r="C404" i="3"/>
  <c r="E403" i="3"/>
  <c r="F403" i="3" s="1"/>
  <c r="C403" i="3"/>
  <c r="E402" i="3"/>
  <c r="F402" i="3" s="1"/>
  <c r="C402" i="3"/>
  <c r="E401" i="3"/>
  <c r="F401" i="3" s="1"/>
  <c r="C401" i="3"/>
  <c r="E400" i="3"/>
  <c r="F400" i="3" s="1"/>
  <c r="C400" i="3"/>
  <c r="E399" i="3"/>
  <c r="F399" i="3" s="1"/>
  <c r="C399" i="3"/>
  <c r="E398" i="3"/>
  <c r="F398" i="3" s="1"/>
  <c r="C398" i="3"/>
  <c r="E397" i="3"/>
  <c r="F397" i="3" s="1"/>
  <c r="C397" i="3"/>
  <c r="E396" i="3"/>
  <c r="F396" i="3" s="1"/>
  <c r="C396" i="3"/>
  <c r="E395" i="3"/>
  <c r="F395" i="3" s="1"/>
  <c r="C395" i="3"/>
  <c r="E394" i="3"/>
  <c r="F394" i="3" s="1"/>
  <c r="C394" i="3"/>
  <c r="E393" i="3"/>
  <c r="F393" i="3" s="1"/>
  <c r="C393" i="3"/>
  <c r="E392" i="3"/>
  <c r="F392" i="3" s="1"/>
  <c r="C392" i="3"/>
  <c r="E391" i="3"/>
  <c r="F391" i="3" s="1"/>
  <c r="C391" i="3"/>
  <c r="E390" i="3"/>
  <c r="F390" i="3" s="1"/>
  <c r="C390" i="3"/>
  <c r="E389" i="3"/>
  <c r="F389" i="3" s="1"/>
  <c r="C389" i="3"/>
  <c r="E388" i="3"/>
  <c r="F388" i="3" s="1"/>
  <c r="C388" i="3"/>
  <c r="E387" i="3"/>
  <c r="F387" i="3" s="1"/>
  <c r="C387" i="3"/>
  <c r="E386" i="3"/>
  <c r="F386" i="3" s="1"/>
  <c r="C386" i="3"/>
  <c r="E385" i="3"/>
  <c r="F385" i="3" s="1"/>
  <c r="C385" i="3"/>
  <c r="E384" i="3"/>
  <c r="F384" i="3" s="1"/>
  <c r="C384" i="3"/>
  <c r="E383" i="3"/>
  <c r="F383" i="3" s="1"/>
  <c r="C383" i="3"/>
  <c r="E382" i="3"/>
  <c r="F382" i="3" s="1"/>
  <c r="C382" i="3"/>
  <c r="E381" i="3"/>
  <c r="F381" i="3" s="1"/>
  <c r="C381" i="3"/>
  <c r="E380" i="3"/>
  <c r="F380" i="3" s="1"/>
  <c r="C380" i="3"/>
  <c r="E379" i="3"/>
  <c r="F379" i="3" s="1"/>
  <c r="C379" i="3"/>
  <c r="E378" i="3"/>
  <c r="F378" i="3" s="1"/>
  <c r="C378" i="3"/>
  <c r="E377" i="3"/>
  <c r="F377" i="3" s="1"/>
  <c r="C377" i="3"/>
  <c r="E376" i="3"/>
  <c r="F376" i="3" s="1"/>
  <c r="C376" i="3"/>
  <c r="E375" i="3"/>
  <c r="F375" i="3" s="1"/>
  <c r="C375" i="3"/>
  <c r="E374" i="3"/>
  <c r="F374" i="3" s="1"/>
  <c r="C374" i="3"/>
  <c r="E373" i="3"/>
  <c r="F373" i="3" s="1"/>
  <c r="C373" i="3"/>
  <c r="E372" i="3"/>
  <c r="F372" i="3" s="1"/>
  <c r="C372" i="3"/>
  <c r="E371" i="3"/>
  <c r="F371" i="3" s="1"/>
  <c r="C371" i="3"/>
  <c r="E370" i="3"/>
  <c r="F370" i="3" s="1"/>
  <c r="C370" i="3"/>
  <c r="E369" i="3"/>
  <c r="F369" i="3" s="1"/>
  <c r="C369" i="3"/>
  <c r="E368" i="3"/>
  <c r="F368" i="3" s="1"/>
  <c r="C368" i="3"/>
  <c r="E367" i="3"/>
  <c r="F367" i="3" s="1"/>
  <c r="C367" i="3"/>
  <c r="E366" i="3"/>
  <c r="F366" i="3" s="1"/>
  <c r="C366" i="3"/>
  <c r="E365" i="3"/>
  <c r="F365" i="3" s="1"/>
  <c r="C365" i="3"/>
  <c r="E364" i="3"/>
  <c r="F364" i="3" s="1"/>
  <c r="C364" i="3"/>
  <c r="E363" i="3"/>
  <c r="F363" i="3" s="1"/>
  <c r="C363" i="3"/>
  <c r="E362" i="3"/>
  <c r="F362" i="3" s="1"/>
  <c r="C362" i="3"/>
  <c r="E361" i="3"/>
  <c r="F361" i="3" s="1"/>
  <c r="C361" i="3"/>
  <c r="E360" i="3"/>
  <c r="F360" i="3" s="1"/>
  <c r="C360" i="3"/>
  <c r="E359" i="3"/>
  <c r="F359" i="3" s="1"/>
  <c r="C359" i="3"/>
  <c r="E358" i="3"/>
  <c r="F358" i="3" s="1"/>
  <c r="C358" i="3"/>
  <c r="E357" i="3"/>
  <c r="F357" i="3" s="1"/>
  <c r="C357" i="3"/>
  <c r="E356" i="3"/>
  <c r="F356" i="3" s="1"/>
  <c r="C356" i="3"/>
  <c r="E355" i="3"/>
  <c r="F355" i="3" s="1"/>
  <c r="C355" i="3"/>
  <c r="E354" i="3"/>
  <c r="F354" i="3" s="1"/>
  <c r="C354" i="3"/>
  <c r="E353" i="3"/>
  <c r="F353" i="3" s="1"/>
  <c r="C353" i="3"/>
  <c r="E352" i="3"/>
  <c r="F352" i="3" s="1"/>
  <c r="C352" i="3"/>
  <c r="E351" i="3"/>
  <c r="F351" i="3" s="1"/>
  <c r="C351" i="3"/>
  <c r="E350" i="3"/>
  <c r="F350" i="3" s="1"/>
  <c r="C350" i="3"/>
  <c r="E349" i="3"/>
  <c r="F349" i="3" s="1"/>
  <c r="C349" i="3"/>
  <c r="E348" i="3"/>
  <c r="F348" i="3" s="1"/>
  <c r="C348" i="3"/>
  <c r="E347" i="3"/>
  <c r="F347" i="3" s="1"/>
  <c r="C347" i="3"/>
  <c r="E346" i="3"/>
  <c r="F346" i="3" s="1"/>
  <c r="C346" i="3"/>
  <c r="E345" i="3"/>
  <c r="F345" i="3" s="1"/>
  <c r="C345" i="3"/>
  <c r="E344" i="3"/>
  <c r="F344" i="3" s="1"/>
  <c r="C344" i="3"/>
  <c r="E343" i="3"/>
  <c r="F343" i="3" s="1"/>
  <c r="C343" i="3"/>
  <c r="E342" i="3"/>
  <c r="F342" i="3" s="1"/>
  <c r="C342" i="3"/>
  <c r="E341" i="3"/>
  <c r="F341" i="3" s="1"/>
  <c r="C341" i="3"/>
  <c r="E340" i="3"/>
  <c r="F340" i="3" s="1"/>
  <c r="C340" i="3"/>
  <c r="E339" i="3"/>
  <c r="F339" i="3" s="1"/>
  <c r="C339" i="3"/>
  <c r="E338" i="3"/>
  <c r="F338" i="3" s="1"/>
  <c r="C338" i="3"/>
  <c r="E337" i="3"/>
  <c r="F337" i="3" s="1"/>
  <c r="C337" i="3"/>
  <c r="E336" i="3"/>
  <c r="F336" i="3" s="1"/>
  <c r="C336" i="3"/>
  <c r="E335" i="3"/>
  <c r="F335" i="3" s="1"/>
  <c r="C335" i="3"/>
  <c r="E334" i="3"/>
  <c r="F334" i="3" s="1"/>
  <c r="C334" i="3"/>
  <c r="E333" i="3"/>
  <c r="F333" i="3" s="1"/>
  <c r="C333" i="3"/>
  <c r="E332" i="3"/>
  <c r="F332" i="3" s="1"/>
  <c r="C332" i="3"/>
  <c r="E331" i="3"/>
  <c r="F331" i="3" s="1"/>
  <c r="C331" i="3"/>
  <c r="E330" i="3"/>
  <c r="F330" i="3" s="1"/>
  <c r="C330" i="3"/>
  <c r="E329" i="3"/>
  <c r="F329" i="3" s="1"/>
  <c r="C329" i="3"/>
  <c r="E328" i="3"/>
  <c r="F328" i="3" s="1"/>
  <c r="C328" i="3"/>
  <c r="E327" i="3"/>
  <c r="F327" i="3" s="1"/>
  <c r="C327" i="3"/>
  <c r="E326" i="3"/>
  <c r="F326" i="3" s="1"/>
  <c r="C326" i="3"/>
  <c r="E325" i="3"/>
  <c r="F325" i="3" s="1"/>
  <c r="C325" i="3"/>
  <c r="E324" i="3"/>
  <c r="F324" i="3" s="1"/>
  <c r="C324" i="3"/>
  <c r="E323" i="3"/>
  <c r="F323" i="3" s="1"/>
  <c r="C323" i="3"/>
  <c r="E322" i="3"/>
  <c r="F322" i="3" s="1"/>
  <c r="C322" i="3"/>
  <c r="E321" i="3"/>
  <c r="F321" i="3" s="1"/>
  <c r="C321" i="3"/>
  <c r="E320" i="3"/>
  <c r="F320" i="3" s="1"/>
  <c r="C320" i="3"/>
  <c r="E319" i="3"/>
  <c r="F319" i="3" s="1"/>
  <c r="C319" i="3"/>
  <c r="E318" i="3"/>
  <c r="F318" i="3" s="1"/>
  <c r="C318" i="3"/>
  <c r="E317" i="3"/>
  <c r="F317" i="3" s="1"/>
  <c r="C317" i="3"/>
  <c r="E316" i="3"/>
  <c r="F316" i="3" s="1"/>
  <c r="C316" i="3"/>
  <c r="E315" i="3"/>
  <c r="F315" i="3" s="1"/>
  <c r="C315" i="3"/>
  <c r="E314" i="3"/>
  <c r="F314" i="3" s="1"/>
  <c r="C314" i="3"/>
  <c r="E313" i="3"/>
  <c r="F313" i="3" s="1"/>
  <c r="C313" i="3"/>
  <c r="E312" i="3"/>
  <c r="F312" i="3" s="1"/>
  <c r="C312" i="3"/>
  <c r="E311" i="3"/>
  <c r="F311" i="3" s="1"/>
  <c r="C311" i="3"/>
  <c r="E310" i="3"/>
  <c r="F310" i="3" s="1"/>
  <c r="C310" i="3"/>
  <c r="E309" i="3"/>
  <c r="F309" i="3" s="1"/>
  <c r="C309" i="3"/>
  <c r="E308" i="3"/>
  <c r="F308" i="3" s="1"/>
  <c r="C308" i="3"/>
  <c r="E307" i="3"/>
  <c r="F307" i="3" s="1"/>
  <c r="C307" i="3"/>
  <c r="E306" i="3"/>
  <c r="F306" i="3" s="1"/>
  <c r="C306" i="3"/>
  <c r="E305" i="3"/>
  <c r="F305" i="3" s="1"/>
  <c r="C305" i="3"/>
  <c r="E304" i="3"/>
  <c r="F304" i="3" s="1"/>
  <c r="C304" i="3"/>
  <c r="E303" i="3"/>
  <c r="F303" i="3" s="1"/>
  <c r="C303" i="3"/>
  <c r="E302" i="3"/>
  <c r="F302" i="3" s="1"/>
  <c r="C302" i="3"/>
  <c r="E301" i="3"/>
  <c r="F301" i="3" s="1"/>
  <c r="C301" i="3"/>
  <c r="E300" i="3"/>
  <c r="F300" i="3" s="1"/>
  <c r="C300" i="3"/>
  <c r="E299" i="3"/>
  <c r="F299" i="3" s="1"/>
  <c r="C299" i="3"/>
  <c r="E298" i="3"/>
  <c r="F298" i="3" s="1"/>
  <c r="C298" i="3"/>
  <c r="E297" i="3"/>
  <c r="F297" i="3" s="1"/>
  <c r="C297" i="3"/>
  <c r="E296" i="3"/>
  <c r="F296" i="3" s="1"/>
  <c r="C296" i="3"/>
  <c r="E295" i="3"/>
  <c r="F295" i="3" s="1"/>
  <c r="C295" i="3"/>
  <c r="E294" i="3"/>
  <c r="F294" i="3" s="1"/>
  <c r="C294" i="3"/>
  <c r="E293" i="3"/>
  <c r="F293" i="3" s="1"/>
  <c r="C293" i="3"/>
  <c r="E292" i="3"/>
  <c r="F292" i="3" s="1"/>
  <c r="C292" i="3"/>
  <c r="E291" i="3"/>
  <c r="F291" i="3" s="1"/>
  <c r="C291" i="3"/>
  <c r="E290" i="3"/>
  <c r="F290" i="3" s="1"/>
  <c r="C290" i="3"/>
  <c r="E289" i="3"/>
  <c r="F289" i="3" s="1"/>
  <c r="C289" i="3"/>
  <c r="E288" i="3"/>
  <c r="F288" i="3" s="1"/>
  <c r="C288" i="3"/>
  <c r="E287" i="3"/>
  <c r="F287" i="3" s="1"/>
  <c r="C287" i="3"/>
  <c r="E286" i="3"/>
  <c r="F286" i="3" s="1"/>
  <c r="C286" i="3"/>
  <c r="E285" i="3"/>
  <c r="F285" i="3" s="1"/>
  <c r="C285" i="3"/>
  <c r="E284" i="3"/>
  <c r="F284" i="3" s="1"/>
  <c r="C284" i="3"/>
  <c r="E283" i="3"/>
  <c r="F283" i="3" s="1"/>
  <c r="C283" i="3"/>
  <c r="E282" i="3"/>
  <c r="F282" i="3" s="1"/>
  <c r="C282" i="3"/>
  <c r="E281" i="3"/>
  <c r="F281" i="3" s="1"/>
  <c r="C281" i="3"/>
  <c r="E280" i="3"/>
  <c r="F280" i="3" s="1"/>
  <c r="C280" i="3"/>
  <c r="E279" i="3"/>
  <c r="F279" i="3" s="1"/>
  <c r="C279" i="3"/>
  <c r="E278" i="3"/>
  <c r="F278" i="3" s="1"/>
  <c r="C278" i="3"/>
  <c r="E277" i="3"/>
  <c r="F277" i="3" s="1"/>
  <c r="C277" i="3"/>
  <c r="E276" i="3"/>
  <c r="F276" i="3" s="1"/>
  <c r="C276" i="3"/>
  <c r="E275" i="3"/>
  <c r="F275" i="3" s="1"/>
  <c r="C275" i="3"/>
  <c r="E274" i="3"/>
  <c r="F274" i="3" s="1"/>
  <c r="C274" i="3"/>
  <c r="E273" i="3"/>
  <c r="F273" i="3" s="1"/>
  <c r="C273" i="3"/>
  <c r="E272" i="3"/>
  <c r="F272" i="3" s="1"/>
  <c r="C272" i="3"/>
  <c r="E271" i="3"/>
  <c r="F271" i="3" s="1"/>
  <c r="C271" i="3"/>
  <c r="E270" i="3"/>
  <c r="F270" i="3" s="1"/>
  <c r="C270" i="3"/>
  <c r="E269" i="3"/>
  <c r="F269" i="3" s="1"/>
  <c r="C269" i="3"/>
  <c r="E268" i="3"/>
  <c r="F268" i="3" s="1"/>
  <c r="C268" i="3"/>
  <c r="E267" i="3"/>
  <c r="F267" i="3" s="1"/>
  <c r="C267" i="3"/>
  <c r="E266" i="3"/>
  <c r="F266" i="3" s="1"/>
  <c r="C266" i="3"/>
  <c r="E265" i="3"/>
  <c r="F265" i="3" s="1"/>
  <c r="C265" i="3"/>
  <c r="E264" i="3"/>
  <c r="F264" i="3" s="1"/>
  <c r="C264" i="3"/>
  <c r="E263" i="3"/>
  <c r="F263" i="3" s="1"/>
  <c r="C263" i="3"/>
  <c r="E262" i="3"/>
  <c r="F262" i="3" s="1"/>
  <c r="C262" i="3"/>
  <c r="E261" i="3"/>
  <c r="F261" i="3" s="1"/>
  <c r="C261" i="3"/>
  <c r="E260" i="3"/>
  <c r="F260" i="3" s="1"/>
  <c r="C260" i="3"/>
  <c r="E259" i="3"/>
  <c r="F259" i="3" s="1"/>
  <c r="C259" i="3"/>
  <c r="E258" i="3"/>
  <c r="F258" i="3" s="1"/>
  <c r="C258" i="3"/>
  <c r="E257" i="3"/>
  <c r="F257" i="3" s="1"/>
  <c r="C257" i="3"/>
  <c r="E256" i="3"/>
  <c r="F256" i="3" s="1"/>
  <c r="C256" i="3"/>
  <c r="E255" i="3"/>
  <c r="F255" i="3" s="1"/>
  <c r="C255" i="3"/>
  <c r="E254" i="3"/>
  <c r="F254" i="3" s="1"/>
  <c r="C254" i="3"/>
  <c r="E253" i="3"/>
  <c r="F253" i="3" s="1"/>
  <c r="C253" i="3"/>
  <c r="E252" i="3"/>
  <c r="F252" i="3" s="1"/>
  <c r="C252" i="3"/>
  <c r="E251" i="3"/>
  <c r="F251" i="3" s="1"/>
  <c r="C251" i="3"/>
  <c r="E250" i="3"/>
  <c r="F250" i="3" s="1"/>
  <c r="C250" i="3"/>
  <c r="E249" i="3"/>
  <c r="F249" i="3" s="1"/>
  <c r="C249" i="3"/>
  <c r="E248" i="3"/>
  <c r="F248" i="3" s="1"/>
  <c r="C248" i="3"/>
  <c r="E247" i="3"/>
  <c r="F247" i="3" s="1"/>
  <c r="C247" i="3"/>
  <c r="E246" i="3"/>
  <c r="F246" i="3" s="1"/>
  <c r="C246" i="3"/>
  <c r="E245" i="3"/>
  <c r="F245" i="3" s="1"/>
  <c r="C245" i="3"/>
  <c r="E244" i="3"/>
  <c r="F244" i="3" s="1"/>
  <c r="C244" i="3"/>
  <c r="E243" i="3"/>
  <c r="F243" i="3" s="1"/>
  <c r="C243" i="3"/>
  <c r="E242" i="3"/>
  <c r="F242" i="3" s="1"/>
  <c r="C242" i="3"/>
  <c r="E241" i="3"/>
  <c r="F241" i="3" s="1"/>
  <c r="C241" i="3"/>
  <c r="E240" i="3"/>
  <c r="F240" i="3" s="1"/>
  <c r="C240" i="3"/>
  <c r="E239" i="3"/>
  <c r="F239" i="3" s="1"/>
  <c r="C239" i="3"/>
  <c r="E238" i="3"/>
  <c r="F238" i="3" s="1"/>
  <c r="C238" i="3"/>
  <c r="E237" i="3"/>
  <c r="F237" i="3" s="1"/>
  <c r="C237" i="3"/>
  <c r="E236" i="3"/>
  <c r="F236" i="3" s="1"/>
  <c r="C236" i="3"/>
  <c r="E235" i="3"/>
  <c r="F235" i="3" s="1"/>
  <c r="C235" i="3"/>
  <c r="E234" i="3"/>
  <c r="F234" i="3" s="1"/>
  <c r="C234" i="3"/>
  <c r="E233" i="3"/>
  <c r="F233" i="3" s="1"/>
  <c r="C233" i="3"/>
  <c r="E232" i="3"/>
  <c r="F232" i="3" s="1"/>
  <c r="C232" i="3"/>
  <c r="E231" i="3"/>
  <c r="F231" i="3" s="1"/>
  <c r="C231" i="3"/>
  <c r="E230" i="3"/>
  <c r="F230" i="3" s="1"/>
  <c r="C230" i="3"/>
  <c r="E229" i="3"/>
  <c r="F229" i="3" s="1"/>
  <c r="C229" i="3"/>
  <c r="E228" i="3"/>
  <c r="F228" i="3" s="1"/>
  <c r="C228" i="3"/>
  <c r="E227" i="3"/>
  <c r="F227" i="3" s="1"/>
  <c r="C227" i="3"/>
  <c r="E226" i="3"/>
  <c r="F226" i="3" s="1"/>
  <c r="C226" i="3"/>
  <c r="E225" i="3"/>
  <c r="F225" i="3" s="1"/>
  <c r="C225" i="3"/>
  <c r="E224" i="3"/>
  <c r="F224" i="3" s="1"/>
  <c r="C224" i="3"/>
  <c r="E223" i="3"/>
  <c r="F223" i="3" s="1"/>
  <c r="C223" i="3"/>
  <c r="E222" i="3"/>
  <c r="F222" i="3" s="1"/>
  <c r="C222" i="3"/>
  <c r="E221" i="3"/>
  <c r="F221" i="3" s="1"/>
  <c r="C221" i="3"/>
  <c r="E220" i="3"/>
  <c r="F220" i="3" s="1"/>
  <c r="C220" i="3"/>
  <c r="E219" i="3"/>
  <c r="F219" i="3" s="1"/>
  <c r="C219" i="3"/>
  <c r="E218" i="3"/>
  <c r="F218" i="3" s="1"/>
  <c r="C218" i="3"/>
  <c r="E217" i="3"/>
  <c r="F217" i="3" s="1"/>
  <c r="C217" i="3"/>
  <c r="E216" i="3"/>
  <c r="F216" i="3" s="1"/>
  <c r="C216" i="3"/>
  <c r="E215" i="3"/>
  <c r="F215" i="3" s="1"/>
  <c r="C215" i="3"/>
  <c r="E214" i="3"/>
  <c r="F214" i="3" s="1"/>
  <c r="C214" i="3"/>
  <c r="E213" i="3"/>
  <c r="F213" i="3" s="1"/>
  <c r="C213" i="3"/>
  <c r="E212" i="3"/>
  <c r="F212" i="3" s="1"/>
  <c r="C212" i="3"/>
  <c r="E211" i="3"/>
  <c r="F211" i="3" s="1"/>
  <c r="C211" i="3"/>
  <c r="E210" i="3"/>
  <c r="F210" i="3" s="1"/>
  <c r="C210" i="3"/>
  <c r="E209" i="3"/>
  <c r="F209" i="3" s="1"/>
  <c r="C209" i="3"/>
  <c r="E208" i="3"/>
  <c r="F208" i="3" s="1"/>
  <c r="C208" i="3"/>
  <c r="E207" i="3"/>
  <c r="F207" i="3" s="1"/>
  <c r="C207" i="3"/>
  <c r="E206" i="3"/>
  <c r="F206" i="3" s="1"/>
  <c r="C206" i="3"/>
  <c r="E205" i="3"/>
  <c r="F205" i="3" s="1"/>
  <c r="C205" i="3"/>
  <c r="E204" i="3"/>
  <c r="F204" i="3" s="1"/>
  <c r="C204" i="3"/>
  <c r="E203" i="3"/>
  <c r="F203" i="3" s="1"/>
  <c r="C203" i="3"/>
  <c r="E202" i="3"/>
  <c r="F202" i="3" s="1"/>
  <c r="C202" i="3"/>
  <c r="E201" i="3"/>
  <c r="F201" i="3" s="1"/>
  <c r="C201" i="3"/>
  <c r="E200" i="3"/>
  <c r="F200" i="3" s="1"/>
  <c r="C200" i="3"/>
  <c r="E199" i="3"/>
  <c r="F199" i="3" s="1"/>
  <c r="C199" i="3"/>
  <c r="E198" i="3"/>
  <c r="F198" i="3" s="1"/>
  <c r="C198" i="3"/>
  <c r="E197" i="3"/>
  <c r="F197" i="3" s="1"/>
  <c r="C197" i="3"/>
  <c r="E196" i="3"/>
  <c r="F196" i="3" s="1"/>
  <c r="C196" i="3"/>
  <c r="E195" i="3"/>
  <c r="F195" i="3" s="1"/>
  <c r="C195" i="3"/>
  <c r="E194" i="3"/>
  <c r="F194" i="3" s="1"/>
  <c r="C194" i="3"/>
  <c r="E193" i="3"/>
  <c r="F193" i="3" s="1"/>
  <c r="C193" i="3"/>
  <c r="E192" i="3"/>
  <c r="F192" i="3" s="1"/>
  <c r="C192" i="3"/>
  <c r="E191" i="3"/>
  <c r="F191" i="3" s="1"/>
  <c r="C191" i="3"/>
  <c r="E190" i="3"/>
  <c r="F190" i="3" s="1"/>
  <c r="C190" i="3"/>
  <c r="E189" i="3"/>
  <c r="F189" i="3" s="1"/>
  <c r="C189" i="3"/>
  <c r="E188" i="3"/>
  <c r="F188" i="3" s="1"/>
  <c r="C188" i="3"/>
  <c r="E187" i="3"/>
  <c r="F187" i="3" s="1"/>
  <c r="C187" i="3"/>
  <c r="E186" i="3"/>
  <c r="F186" i="3" s="1"/>
  <c r="C186" i="3"/>
  <c r="E185" i="3"/>
  <c r="F185" i="3" s="1"/>
  <c r="C185" i="3"/>
  <c r="E184" i="3"/>
  <c r="F184" i="3" s="1"/>
  <c r="C184" i="3"/>
  <c r="E183" i="3"/>
  <c r="F183" i="3" s="1"/>
  <c r="C183" i="3"/>
  <c r="E182" i="3"/>
  <c r="F182" i="3" s="1"/>
  <c r="C182" i="3"/>
  <c r="E181" i="3"/>
  <c r="F181" i="3" s="1"/>
  <c r="C181" i="3"/>
  <c r="E180" i="3"/>
  <c r="F180" i="3" s="1"/>
  <c r="C180" i="3"/>
  <c r="E179" i="3"/>
  <c r="F179" i="3" s="1"/>
  <c r="C179" i="3"/>
  <c r="E178" i="3"/>
  <c r="F178" i="3" s="1"/>
  <c r="C178" i="3"/>
  <c r="E177" i="3"/>
  <c r="F177" i="3" s="1"/>
  <c r="C177" i="3"/>
  <c r="E176" i="3"/>
  <c r="F176" i="3" s="1"/>
  <c r="C176" i="3"/>
  <c r="E175" i="3"/>
  <c r="F175" i="3" s="1"/>
  <c r="C175" i="3"/>
  <c r="E174" i="3"/>
  <c r="F174" i="3" s="1"/>
  <c r="C174" i="3"/>
  <c r="E173" i="3"/>
  <c r="F173" i="3" s="1"/>
  <c r="C173" i="3"/>
  <c r="E172" i="3"/>
  <c r="F172" i="3" s="1"/>
  <c r="C172" i="3"/>
  <c r="E171" i="3"/>
  <c r="F171" i="3" s="1"/>
  <c r="C171" i="3"/>
  <c r="E170" i="3"/>
  <c r="F170" i="3" s="1"/>
  <c r="C170" i="3"/>
  <c r="E169" i="3"/>
  <c r="F169" i="3" s="1"/>
  <c r="C169" i="3"/>
  <c r="E168" i="3"/>
  <c r="F168" i="3" s="1"/>
  <c r="C168" i="3"/>
  <c r="E167" i="3"/>
  <c r="F167" i="3" s="1"/>
  <c r="C167" i="3"/>
  <c r="E166" i="3"/>
  <c r="F166" i="3" s="1"/>
  <c r="C166" i="3"/>
  <c r="E165" i="3"/>
  <c r="F165" i="3" s="1"/>
  <c r="C165" i="3"/>
  <c r="E164" i="3"/>
  <c r="F164" i="3" s="1"/>
  <c r="C164" i="3"/>
  <c r="E163" i="3"/>
  <c r="F163" i="3" s="1"/>
  <c r="C163" i="3"/>
  <c r="E162" i="3"/>
  <c r="F162" i="3" s="1"/>
  <c r="C162" i="3"/>
  <c r="E161" i="3"/>
  <c r="F161" i="3" s="1"/>
  <c r="C161" i="3"/>
  <c r="E160" i="3"/>
  <c r="F160" i="3" s="1"/>
  <c r="C160" i="3"/>
  <c r="E159" i="3"/>
  <c r="F159" i="3" s="1"/>
  <c r="C159" i="3"/>
  <c r="E158" i="3"/>
  <c r="F158" i="3" s="1"/>
  <c r="C158" i="3"/>
  <c r="E157" i="3"/>
  <c r="F157" i="3" s="1"/>
  <c r="C157" i="3"/>
  <c r="E156" i="3"/>
  <c r="F156" i="3" s="1"/>
  <c r="C156" i="3"/>
  <c r="E155" i="3"/>
  <c r="F155" i="3" s="1"/>
  <c r="C155" i="3"/>
  <c r="E154" i="3"/>
  <c r="F154" i="3" s="1"/>
  <c r="C154" i="3"/>
  <c r="E153" i="3"/>
  <c r="F153" i="3" s="1"/>
  <c r="C153" i="3"/>
  <c r="E152" i="3"/>
  <c r="F152" i="3" s="1"/>
  <c r="C152" i="3"/>
  <c r="E151" i="3"/>
  <c r="F151" i="3" s="1"/>
  <c r="C151" i="3"/>
  <c r="E150" i="3"/>
  <c r="F150" i="3" s="1"/>
  <c r="C150" i="3"/>
  <c r="E149" i="3"/>
  <c r="F149" i="3" s="1"/>
  <c r="C149" i="3"/>
  <c r="E148" i="3"/>
  <c r="F148" i="3" s="1"/>
  <c r="C148" i="3"/>
  <c r="E147" i="3"/>
  <c r="F147" i="3" s="1"/>
  <c r="C147" i="3"/>
  <c r="E146" i="3"/>
  <c r="F146" i="3" s="1"/>
  <c r="C146" i="3"/>
  <c r="E145" i="3"/>
  <c r="F145" i="3" s="1"/>
  <c r="C145" i="3"/>
  <c r="E144" i="3"/>
  <c r="F144" i="3" s="1"/>
  <c r="C144" i="3"/>
  <c r="E143" i="3"/>
  <c r="F143" i="3" s="1"/>
  <c r="C143" i="3"/>
  <c r="E142" i="3"/>
  <c r="F142" i="3" s="1"/>
  <c r="C142" i="3"/>
  <c r="E141" i="3"/>
  <c r="F141" i="3" s="1"/>
  <c r="C141" i="3"/>
  <c r="E140" i="3"/>
  <c r="F140" i="3" s="1"/>
  <c r="C140" i="3"/>
  <c r="E139" i="3"/>
  <c r="F139" i="3" s="1"/>
  <c r="C139" i="3"/>
  <c r="E138" i="3"/>
  <c r="F138" i="3" s="1"/>
  <c r="C138" i="3"/>
  <c r="E137" i="3"/>
  <c r="F137" i="3" s="1"/>
  <c r="C137" i="3"/>
  <c r="E136" i="3"/>
  <c r="F136" i="3" s="1"/>
  <c r="C136" i="3"/>
  <c r="E135" i="3"/>
  <c r="F135" i="3" s="1"/>
  <c r="C135" i="3"/>
  <c r="E134" i="3"/>
  <c r="F134" i="3" s="1"/>
  <c r="C134" i="3"/>
  <c r="E133" i="3"/>
  <c r="F133" i="3" s="1"/>
  <c r="C133" i="3"/>
  <c r="E132" i="3"/>
  <c r="F132" i="3" s="1"/>
  <c r="C132" i="3"/>
  <c r="E131" i="3"/>
  <c r="F131" i="3" s="1"/>
  <c r="C131" i="3"/>
  <c r="E130" i="3"/>
  <c r="F130" i="3" s="1"/>
  <c r="C130" i="3"/>
  <c r="E129" i="3"/>
  <c r="F129" i="3" s="1"/>
  <c r="C129" i="3"/>
  <c r="E128" i="3"/>
  <c r="F128" i="3" s="1"/>
  <c r="C128" i="3"/>
  <c r="E127" i="3"/>
  <c r="F127" i="3" s="1"/>
  <c r="C127" i="3"/>
  <c r="E126" i="3"/>
  <c r="F126" i="3" s="1"/>
  <c r="C126" i="3"/>
  <c r="E125" i="3"/>
  <c r="F125" i="3" s="1"/>
  <c r="C125" i="3"/>
  <c r="E124" i="3"/>
  <c r="F124" i="3" s="1"/>
  <c r="C124" i="3"/>
  <c r="E123" i="3"/>
  <c r="F123" i="3" s="1"/>
  <c r="C123" i="3"/>
  <c r="E122" i="3"/>
  <c r="F122" i="3" s="1"/>
  <c r="C122" i="3"/>
  <c r="E121" i="3"/>
  <c r="F121" i="3" s="1"/>
  <c r="C121" i="3"/>
  <c r="E120" i="3"/>
  <c r="F120" i="3" s="1"/>
  <c r="C120" i="3"/>
  <c r="E119" i="3"/>
  <c r="F119" i="3" s="1"/>
  <c r="C119" i="3"/>
  <c r="E118" i="3"/>
  <c r="F118" i="3" s="1"/>
  <c r="C118" i="3"/>
  <c r="E117" i="3"/>
  <c r="F117" i="3" s="1"/>
  <c r="C117" i="3"/>
  <c r="E116" i="3"/>
  <c r="F116" i="3" s="1"/>
  <c r="C116" i="3"/>
  <c r="E115" i="3"/>
  <c r="F115" i="3" s="1"/>
  <c r="C115" i="3"/>
  <c r="E114" i="3"/>
  <c r="F114" i="3" s="1"/>
  <c r="C114" i="3"/>
  <c r="E113" i="3"/>
  <c r="F113" i="3" s="1"/>
  <c r="C113" i="3"/>
  <c r="E112" i="3"/>
  <c r="F112" i="3" s="1"/>
  <c r="C112" i="3"/>
  <c r="E111" i="3"/>
  <c r="F111" i="3" s="1"/>
  <c r="C111" i="3"/>
  <c r="E110" i="3"/>
  <c r="F110" i="3" s="1"/>
  <c r="C110" i="3"/>
  <c r="E109" i="3"/>
  <c r="F109" i="3" s="1"/>
  <c r="C109" i="3"/>
  <c r="E108" i="3"/>
  <c r="F108" i="3" s="1"/>
  <c r="C108" i="3"/>
  <c r="E107" i="3"/>
  <c r="F107" i="3" s="1"/>
  <c r="C107" i="3"/>
  <c r="E106" i="3"/>
  <c r="F106" i="3" s="1"/>
  <c r="C106" i="3"/>
  <c r="E105" i="3"/>
  <c r="F105" i="3" s="1"/>
  <c r="C105" i="3"/>
  <c r="E104" i="3"/>
  <c r="F104" i="3" s="1"/>
  <c r="C104" i="3"/>
  <c r="E103" i="3"/>
  <c r="F103" i="3" s="1"/>
  <c r="C103" i="3"/>
  <c r="E102" i="3"/>
  <c r="F102" i="3" s="1"/>
  <c r="C102" i="3"/>
  <c r="E101" i="3"/>
  <c r="F101" i="3" s="1"/>
  <c r="C101" i="3"/>
  <c r="E100" i="3"/>
  <c r="F100" i="3" s="1"/>
  <c r="C100" i="3"/>
  <c r="E99" i="3"/>
  <c r="F99" i="3" s="1"/>
  <c r="C99" i="3"/>
  <c r="E98" i="3"/>
  <c r="F98" i="3" s="1"/>
  <c r="C98" i="3"/>
  <c r="E97" i="3"/>
  <c r="F97" i="3" s="1"/>
  <c r="C97" i="3"/>
  <c r="E96" i="3"/>
  <c r="F96" i="3" s="1"/>
  <c r="C96" i="3"/>
  <c r="E95" i="3"/>
  <c r="F95" i="3" s="1"/>
  <c r="C95" i="3"/>
  <c r="E94" i="3"/>
  <c r="F94" i="3" s="1"/>
  <c r="C94" i="3"/>
  <c r="E93" i="3"/>
  <c r="F93" i="3" s="1"/>
  <c r="C93" i="3"/>
  <c r="E92" i="3"/>
  <c r="F92" i="3" s="1"/>
  <c r="C92" i="3"/>
  <c r="E91" i="3"/>
  <c r="F91" i="3" s="1"/>
  <c r="C91" i="3"/>
  <c r="E90" i="3"/>
  <c r="F90" i="3" s="1"/>
  <c r="C90" i="3"/>
  <c r="E89" i="3"/>
  <c r="F89" i="3" s="1"/>
  <c r="C89" i="3"/>
  <c r="E88" i="3"/>
  <c r="F88" i="3" s="1"/>
  <c r="C88" i="3"/>
  <c r="E87" i="3"/>
  <c r="F87" i="3" s="1"/>
  <c r="C87" i="3"/>
  <c r="E86" i="3"/>
  <c r="F86" i="3" s="1"/>
  <c r="C86" i="3"/>
  <c r="E85" i="3"/>
  <c r="F85" i="3" s="1"/>
  <c r="C85" i="3"/>
  <c r="E84" i="3"/>
  <c r="F84" i="3" s="1"/>
  <c r="C84" i="3"/>
  <c r="E83" i="3"/>
  <c r="F83" i="3" s="1"/>
  <c r="C83" i="3"/>
  <c r="E82" i="3"/>
  <c r="F82" i="3" s="1"/>
  <c r="C82" i="3"/>
  <c r="E81" i="3"/>
  <c r="F81" i="3" s="1"/>
  <c r="C81" i="3"/>
  <c r="E80" i="3"/>
  <c r="F80" i="3" s="1"/>
  <c r="C80" i="3"/>
  <c r="E79" i="3"/>
  <c r="F79" i="3" s="1"/>
  <c r="C79" i="3"/>
  <c r="E78" i="3"/>
  <c r="F78" i="3" s="1"/>
  <c r="C78" i="3"/>
  <c r="E77" i="3"/>
  <c r="F77" i="3" s="1"/>
  <c r="C77" i="3"/>
  <c r="E76" i="3"/>
  <c r="F76" i="3" s="1"/>
  <c r="C76" i="3"/>
  <c r="E75" i="3"/>
  <c r="F75" i="3" s="1"/>
  <c r="C75" i="3"/>
  <c r="E74" i="3"/>
  <c r="F74" i="3" s="1"/>
  <c r="C74" i="3"/>
  <c r="E73" i="3"/>
  <c r="F73" i="3" s="1"/>
  <c r="C73" i="3"/>
  <c r="E72" i="3"/>
  <c r="F72" i="3" s="1"/>
  <c r="C72" i="3"/>
  <c r="E71" i="3"/>
  <c r="F71" i="3" s="1"/>
  <c r="C71" i="3"/>
  <c r="E70" i="3"/>
  <c r="F70" i="3" s="1"/>
  <c r="C70" i="3"/>
  <c r="E69" i="3"/>
  <c r="F69" i="3" s="1"/>
  <c r="C69" i="3"/>
  <c r="E68" i="3"/>
  <c r="F68" i="3" s="1"/>
  <c r="C68" i="3"/>
  <c r="E67" i="3"/>
  <c r="F67" i="3" s="1"/>
  <c r="C67" i="3"/>
  <c r="E66" i="3"/>
  <c r="F66" i="3" s="1"/>
  <c r="C66" i="3"/>
  <c r="E65" i="3"/>
  <c r="F65" i="3" s="1"/>
  <c r="C65" i="3"/>
  <c r="E64" i="3"/>
  <c r="F64" i="3" s="1"/>
  <c r="C64" i="3"/>
  <c r="E63" i="3"/>
  <c r="F63" i="3" s="1"/>
  <c r="C63" i="3"/>
  <c r="E62" i="3"/>
  <c r="F62" i="3" s="1"/>
  <c r="C62" i="3"/>
  <c r="E61" i="3"/>
  <c r="F61" i="3" s="1"/>
  <c r="C61" i="3"/>
  <c r="E60" i="3"/>
  <c r="F60" i="3" s="1"/>
  <c r="C60" i="3"/>
  <c r="E59" i="3"/>
  <c r="F59" i="3" s="1"/>
  <c r="C59" i="3"/>
  <c r="E58" i="3"/>
  <c r="F58" i="3" s="1"/>
  <c r="C58" i="3"/>
  <c r="E57" i="3"/>
  <c r="F57" i="3" s="1"/>
  <c r="C57" i="3"/>
  <c r="E56" i="3"/>
  <c r="F56" i="3" s="1"/>
  <c r="C56" i="3"/>
  <c r="E55" i="3"/>
  <c r="F55" i="3" s="1"/>
  <c r="C55" i="3"/>
  <c r="E54" i="3"/>
  <c r="F54" i="3" s="1"/>
  <c r="C54" i="3"/>
  <c r="E53" i="3"/>
  <c r="F53" i="3" s="1"/>
  <c r="C53" i="3"/>
  <c r="E52" i="3"/>
  <c r="F52" i="3" s="1"/>
  <c r="C52" i="3"/>
  <c r="E51" i="3"/>
  <c r="F51" i="3" s="1"/>
  <c r="C51" i="3"/>
  <c r="E50" i="3"/>
  <c r="F50" i="3" s="1"/>
  <c r="C50" i="3"/>
  <c r="E49" i="3"/>
  <c r="F49" i="3" s="1"/>
  <c r="C49" i="3"/>
  <c r="E48" i="3"/>
  <c r="F48" i="3" s="1"/>
  <c r="C48" i="3"/>
  <c r="E47" i="3"/>
  <c r="F47" i="3" s="1"/>
  <c r="C47" i="3"/>
  <c r="E46" i="3"/>
  <c r="F46" i="3" s="1"/>
  <c r="C46" i="3"/>
  <c r="E45" i="3"/>
  <c r="F45" i="3" s="1"/>
  <c r="C45" i="3"/>
  <c r="E44" i="3"/>
  <c r="F44" i="3" s="1"/>
  <c r="C44" i="3"/>
  <c r="E43" i="3"/>
  <c r="F43" i="3" s="1"/>
  <c r="C43" i="3"/>
  <c r="E42" i="3"/>
  <c r="F42" i="3" s="1"/>
  <c r="C42" i="3"/>
  <c r="E41" i="3"/>
  <c r="F41" i="3" s="1"/>
  <c r="C41" i="3"/>
  <c r="E40" i="3"/>
  <c r="F40" i="3" s="1"/>
  <c r="C40" i="3"/>
  <c r="E39" i="3"/>
  <c r="F39" i="3" s="1"/>
  <c r="C39" i="3"/>
  <c r="E38" i="3"/>
  <c r="F38" i="3" s="1"/>
  <c r="C38" i="3"/>
  <c r="E37" i="3"/>
  <c r="F37" i="3" s="1"/>
  <c r="C37" i="3"/>
  <c r="E36" i="3"/>
  <c r="F36" i="3" s="1"/>
  <c r="C36" i="3"/>
  <c r="E35" i="3"/>
  <c r="F35" i="3" s="1"/>
  <c r="C35" i="3"/>
  <c r="E34" i="3"/>
  <c r="F34" i="3" s="1"/>
  <c r="C34" i="3"/>
  <c r="E33" i="3"/>
  <c r="F33" i="3" s="1"/>
  <c r="C33" i="3"/>
  <c r="E32" i="3"/>
  <c r="F32" i="3" s="1"/>
  <c r="C32" i="3"/>
  <c r="E31" i="3"/>
  <c r="F31" i="3" s="1"/>
  <c r="C31" i="3"/>
  <c r="E30" i="3"/>
  <c r="F30" i="3" s="1"/>
  <c r="C30" i="3"/>
  <c r="E29" i="3"/>
  <c r="F29" i="3" s="1"/>
  <c r="C29" i="3"/>
  <c r="E28" i="3"/>
  <c r="F28" i="3" s="1"/>
  <c r="C28" i="3"/>
  <c r="E27" i="3"/>
  <c r="F27" i="3" s="1"/>
  <c r="C27" i="3"/>
  <c r="E26" i="3"/>
  <c r="F26" i="3" s="1"/>
  <c r="C26" i="3"/>
  <c r="E25" i="3"/>
  <c r="F25" i="3" s="1"/>
  <c r="C25" i="3"/>
  <c r="E24" i="3"/>
  <c r="F24" i="3" s="1"/>
  <c r="C24" i="3"/>
  <c r="E23" i="3"/>
  <c r="F23" i="3" s="1"/>
  <c r="C23" i="3"/>
  <c r="E22" i="3"/>
  <c r="F22" i="3" s="1"/>
  <c r="C22" i="3"/>
  <c r="E21" i="3"/>
  <c r="F21" i="3" s="1"/>
  <c r="C21" i="3"/>
  <c r="E20" i="3"/>
  <c r="F20" i="3" s="1"/>
  <c r="C20" i="3"/>
  <c r="E19" i="3"/>
  <c r="F19" i="3" s="1"/>
  <c r="C19" i="3"/>
  <c r="E18" i="3"/>
  <c r="F18" i="3" s="1"/>
  <c r="C18" i="3"/>
  <c r="E17" i="3"/>
  <c r="F17" i="3" s="1"/>
  <c r="C17" i="3"/>
  <c r="E16" i="3"/>
  <c r="F16" i="3" s="1"/>
  <c r="C16" i="3"/>
  <c r="E15" i="3"/>
  <c r="F15" i="3" s="1"/>
  <c r="C15" i="3"/>
  <c r="E14" i="3"/>
  <c r="F14" i="3" s="1"/>
  <c r="C14" i="3"/>
  <c r="E13" i="3"/>
  <c r="F13" i="3" s="1"/>
  <c r="C13" i="3"/>
  <c r="E12" i="3"/>
  <c r="F12" i="3" s="1"/>
  <c r="C12" i="3"/>
  <c r="E11" i="3"/>
  <c r="F11" i="3" s="1"/>
  <c r="C11" i="3"/>
  <c r="E10" i="3"/>
  <c r="F10" i="3" s="1"/>
  <c r="C10" i="3"/>
  <c r="E9" i="3"/>
  <c r="F9" i="3" s="1"/>
  <c r="C9" i="3"/>
  <c r="E8" i="3"/>
  <c r="F8" i="3" s="1"/>
  <c r="C8" i="3"/>
  <c r="E7" i="3"/>
  <c r="F7" i="3" s="1"/>
  <c r="C7" i="3"/>
  <c r="E6" i="3"/>
  <c r="F6" i="3" s="1"/>
  <c r="C6" i="3"/>
  <c r="E5" i="3"/>
  <c r="F5" i="3" s="1"/>
  <c r="C5" i="3"/>
  <c r="E4" i="3"/>
  <c r="F4" i="3" s="1"/>
  <c r="C4" i="3"/>
  <c r="E3" i="3"/>
  <c r="F3" i="3" s="1"/>
  <c r="C3" i="3"/>
  <c r="E2" i="3"/>
  <c r="F2" i="3" s="1"/>
  <c r="C2" i="3"/>
  <c r="E499" i="2"/>
  <c r="F499" i="2" s="1"/>
  <c r="C499" i="2"/>
  <c r="E498" i="2"/>
  <c r="F498" i="2" s="1"/>
  <c r="C498" i="2"/>
  <c r="E497" i="2"/>
  <c r="F497" i="2" s="1"/>
  <c r="C497" i="2"/>
  <c r="E496" i="2"/>
  <c r="F496" i="2" s="1"/>
  <c r="C496" i="2"/>
  <c r="E495" i="2"/>
  <c r="F495" i="2" s="1"/>
  <c r="C495" i="2"/>
  <c r="E494" i="2"/>
  <c r="F494" i="2" s="1"/>
  <c r="C494" i="2"/>
  <c r="E493" i="2"/>
  <c r="F493" i="2" s="1"/>
  <c r="C493" i="2"/>
  <c r="E492" i="2"/>
  <c r="F492" i="2" s="1"/>
  <c r="C492" i="2"/>
  <c r="E491" i="2"/>
  <c r="F491" i="2" s="1"/>
  <c r="C491" i="2"/>
  <c r="E490" i="2"/>
  <c r="F490" i="2" s="1"/>
  <c r="C490" i="2"/>
  <c r="E489" i="2"/>
  <c r="F489" i="2" s="1"/>
  <c r="C489" i="2"/>
  <c r="E488" i="2"/>
  <c r="F488" i="2" s="1"/>
  <c r="C488" i="2"/>
  <c r="E487" i="2"/>
  <c r="F487" i="2" s="1"/>
  <c r="C487" i="2"/>
  <c r="E486" i="2"/>
  <c r="F486" i="2" s="1"/>
  <c r="C486" i="2"/>
  <c r="E485" i="2"/>
  <c r="F485" i="2" s="1"/>
  <c r="C485" i="2"/>
  <c r="E484" i="2"/>
  <c r="F484" i="2" s="1"/>
  <c r="C484" i="2"/>
  <c r="E483" i="2"/>
  <c r="F483" i="2" s="1"/>
  <c r="C483" i="2"/>
  <c r="E482" i="2"/>
  <c r="F482" i="2" s="1"/>
  <c r="C482" i="2"/>
  <c r="E481" i="2"/>
  <c r="F481" i="2" s="1"/>
  <c r="C481" i="2"/>
  <c r="E480" i="2"/>
  <c r="F480" i="2" s="1"/>
  <c r="C480" i="2"/>
  <c r="E479" i="2"/>
  <c r="F479" i="2" s="1"/>
  <c r="C479" i="2"/>
  <c r="E478" i="2"/>
  <c r="F478" i="2" s="1"/>
  <c r="C478" i="2"/>
  <c r="E477" i="2"/>
  <c r="F477" i="2" s="1"/>
  <c r="C477" i="2"/>
  <c r="E476" i="2"/>
  <c r="F476" i="2" s="1"/>
  <c r="C476" i="2"/>
  <c r="E475" i="2"/>
  <c r="F475" i="2" s="1"/>
  <c r="C475" i="2"/>
  <c r="E474" i="2"/>
  <c r="F474" i="2" s="1"/>
  <c r="C474" i="2"/>
  <c r="E473" i="2"/>
  <c r="F473" i="2" s="1"/>
  <c r="C473" i="2"/>
  <c r="E472" i="2"/>
  <c r="F472" i="2" s="1"/>
  <c r="C472" i="2"/>
  <c r="E471" i="2"/>
  <c r="F471" i="2" s="1"/>
  <c r="C471" i="2"/>
  <c r="E470" i="2"/>
  <c r="F470" i="2" s="1"/>
  <c r="C470" i="2"/>
  <c r="E469" i="2"/>
  <c r="F469" i="2" s="1"/>
  <c r="C469" i="2"/>
  <c r="E468" i="2"/>
  <c r="F468" i="2" s="1"/>
  <c r="C468" i="2"/>
  <c r="E467" i="2"/>
  <c r="F467" i="2" s="1"/>
  <c r="C467" i="2"/>
  <c r="E466" i="2"/>
  <c r="F466" i="2" s="1"/>
  <c r="C466" i="2"/>
  <c r="E465" i="2"/>
  <c r="F465" i="2" s="1"/>
  <c r="C465" i="2"/>
  <c r="E464" i="2"/>
  <c r="F464" i="2" s="1"/>
  <c r="C464" i="2"/>
  <c r="E463" i="2"/>
  <c r="F463" i="2" s="1"/>
  <c r="C463" i="2"/>
  <c r="E462" i="2"/>
  <c r="F462" i="2" s="1"/>
  <c r="C462" i="2"/>
  <c r="E461" i="2"/>
  <c r="F461" i="2" s="1"/>
  <c r="C461" i="2"/>
  <c r="E460" i="2"/>
  <c r="F460" i="2" s="1"/>
  <c r="C460" i="2"/>
  <c r="E459" i="2"/>
  <c r="F459" i="2" s="1"/>
  <c r="C459" i="2"/>
  <c r="E458" i="2"/>
  <c r="F458" i="2" s="1"/>
  <c r="C458" i="2"/>
  <c r="E457" i="2"/>
  <c r="F457" i="2" s="1"/>
  <c r="C457" i="2"/>
  <c r="E456" i="2"/>
  <c r="F456" i="2" s="1"/>
  <c r="C456" i="2"/>
  <c r="E455" i="2"/>
  <c r="F455" i="2" s="1"/>
  <c r="C455" i="2"/>
  <c r="E454" i="2"/>
  <c r="F454" i="2" s="1"/>
  <c r="C454" i="2"/>
  <c r="E453" i="2"/>
  <c r="F453" i="2" s="1"/>
  <c r="C453" i="2"/>
  <c r="E452" i="2"/>
  <c r="F452" i="2" s="1"/>
  <c r="C452" i="2"/>
  <c r="E451" i="2"/>
  <c r="F451" i="2" s="1"/>
  <c r="C451" i="2"/>
  <c r="E450" i="2"/>
  <c r="F450" i="2" s="1"/>
  <c r="C450" i="2"/>
  <c r="E449" i="2"/>
  <c r="F449" i="2" s="1"/>
  <c r="C449" i="2"/>
  <c r="E448" i="2"/>
  <c r="F448" i="2" s="1"/>
  <c r="C448" i="2"/>
  <c r="E447" i="2"/>
  <c r="F447" i="2" s="1"/>
  <c r="C447" i="2"/>
  <c r="E446" i="2"/>
  <c r="F446" i="2" s="1"/>
  <c r="C446" i="2"/>
  <c r="E445" i="2"/>
  <c r="F445" i="2" s="1"/>
  <c r="C445" i="2"/>
  <c r="E444" i="2"/>
  <c r="F444" i="2" s="1"/>
  <c r="C444" i="2"/>
  <c r="E443" i="2"/>
  <c r="F443" i="2" s="1"/>
  <c r="C443" i="2"/>
  <c r="E442" i="2"/>
  <c r="F442" i="2" s="1"/>
  <c r="C442" i="2"/>
  <c r="E441" i="2"/>
  <c r="F441" i="2" s="1"/>
  <c r="C441" i="2"/>
  <c r="E440" i="2"/>
  <c r="F440" i="2" s="1"/>
  <c r="C440" i="2"/>
  <c r="E439" i="2"/>
  <c r="F439" i="2" s="1"/>
  <c r="C439" i="2"/>
  <c r="E438" i="2"/>
  <c r="F438" i="2" s="1"/>
  <c r="C438" i="2"/>
  <c r="E437" i="2"/>
  <c r="F437" i="2" s="1"/>
  <c r="C437" i="2"/>
  <c r="E436" i="2"/>
  <c r="F436" i="2" s="1"/>
  <c r="C436" i="2"/>
  <c r="E435" i="2"/>
  <c r="F435" i="2" s="1"/>
  <c r="C435" i="2"/>
  <c r="E434" i="2"/>
  <c r="F434" i="2" s="1"/>
  <c r="C434" i="2"/>
  <c r="E433" i="2"/>
  <c r="F433" i="2" s="1"/>
  <c r="C433" i="2"/>
  <c r="E432" i="2"/>
  <c r="F432" i="2" s="1"/>
  <c r="C432" i="2"/>
  <c r="E431" i="2"/>
  <c r="F431" i="2" s="1"/>
  <c r="C431" i="2"/>
  <c r="E430" i="2"/>
  <c r="F430" i="2" s="1"/>
  <c r="C430" i="2"/>
  <c r="E429" i="2"/>
  <c r="F429" i="2" s="1"/>
  <c r="C429" i="2"/>
  <c r="E428" i="2"/>
  <c r="F428" i="2" s="1"/>
  <c r="C428" i="2"/>
  <c r="E427" i="2"/>
  <c r="F427" i="2" s="1"/>
  <c r="C427" i="2"/>
  <c r="E426" i="2"/>
  <c r="F426" i="2" s="1"/>
  <c r="C426" i="2"/>
  <c r="E425" i="2"/>
  <c r="F425" i="2" s="1"/>
  <c r="C425" i="2"/>
  <c r="E424" i="2"/>
  <c r="F424" i="2" s="1"/>
  <c r="C424" i="2"/>
  <c r="E423" i="2"/>
  <c r="F423" i="2" s="1"/>
  <c r="C423" i="2"/>
  <c r="E422" i="2"/>
  <c r="F422" i="2" s="1"/>
  <c r="C422" i="2"/>
  <c r="E421" i="2"/>
  <c r="F421" i="2" s="1"/>
  <c r="C421" i="2"/>
  <c r="E420" i="2"/>
  <c r="F420" i="2" s="1"/>
  <c r="C420" i="2"/>
  <c r="E419" i="2"/>
  <c r="F419" i="2" s="1"/>
  <c r="C419" i="2"/>
  <c r="E418" i="2"/>
  <c r="F418" i="2" s="1"/>
  <c r="C418" i="2"/>
  <c r="E417" i="2"/>
  <c r="F417" i="2" s="1"/>
  <c r="C417" i="2"/>
  <c r="E416" i="2"/>
  <c r="F416" i="2" s="1"/>
  <c r="C416" i="2"/>
  <c r="E415" i="2"/>
  <c r="F415" i="2" s="1"/>
  <c r="C415" i="2"/>
  <c r="E414" i="2"/>
  <c r="F414" i="2" s="1"/>
  <c r="C414" i="2"/>
  <c r="E413" i="2"/>
  <c r="F413" i="2" s="1"/>
  <c r="C413" i="2"/>
  <c r="E412" i="2"/>
  <c r="F412" i="2" s="1"/>
  <c r="C412" i="2"/>
  <c r="E411" i="2"/>
  <c r="F411" i="2" s="1"/>
  <c r="C411" i="2"/>
  <c r="E410" i="2"/>
  <c r="F410" i="2" s="1"/>
  <c r="C410" i="2"/>
  <c r="E409" i="2"/>
  <c r="F409" i="2" s="1"/>
  <c r="C409" i="2"/>
  <c r="E408" i="2"/>
  <c r="F408" i="2" s="1"/>
  <c r="C408" i="2"/>
  <c r="E407" i="2"/>
  <c r="F407" i="2" s="1"/>
  <c r="C407" i="2"/>
  <c r="E406" i="2"/>
  <c r="F406" i="2" s="1"/>
  <c r="C406" i="2"/>
  <c r="E405" i="2"/>
  <c r="F405" i="2" s="1"/>
  <c r="C405" i="2"/>
  <c r="E404" i="2"/>
  <c r="F404" i="2" s="1"/>
  <c r="C404" i="2"/>
  <c r="E403" i="2"/>
  <c r="F403" i="2" s="1"/>
  <c r="C403" i="2"/>
  <c r="E402" i="2"/>
  <c r="F402" i="2" s="1"/>
  <c r="C402" i="2"/>
  <c r="E401" i="2"/>
  <c r="F401" i="2" s="1"/>
  <c r="C401" i="2"/>
  <c r="E400" i="2"/>
  <c r="F400" i="2" s="1"/>
  <c r="C400" i="2"/>
  <c r="E399" i="2"/>
  <c r="F399" i="2" s="1"/>
  <c r="C399" i="2"/>
  <c r="E398" i="2"/>
  <c r="F398" i="2" s="1"/>
  <c r="C398" i="2"/>
  <c r="E397" i="2"/>
  <c r="F397" i="2" s="1"/>
  <c r="C397" i="2"/>
  <c r="E396" i="2"/>
  <c r="F396" i="2" s="1"/>
  <c r="C396" i="2"/>
  <c r="E395" i="2"/>
  <c r="F395" i="2" s="1"/>
  <c r="C395" i="2"/>
  <c r="E394" i="2"/>
  <c r="F394" i="2" s="1"/>
  <c r="C394" i="2"/>
  <c r="E393" i="2"/>
  <c r="F393" i="2" s="1"/>
  <c r="C393" i="2"/>
  <c r="E392" i="2"/>
  <c r="F392" i="2" s="1"/>
  <c r="C392" i="2"/>
  <c r="E391" i="2"/>
  <c r="F391" i="2" s="1"/>
  <c r="C391" i="2"/>
  <c r="E390" i="2"/>
  <c r="F390" i="2" s="1"/>
  <c r="C390" i="2"/>
  <c r="E389" i="2"/>
  <c r="F389" i="2" s="1"/>
  <c r="C389" i="2"/>
  <c r="E388" i="2"/>
  <c r="F388" i="2" s="1"/>
  <c r="C388" i="2"/>
  <c r="E387" i="2"/>
  <c r="F387" i="2" s="1"/>
  <c r="C387" i="2"/>
  <c r="E386" i="2"/>
  <c r="F386" i="2" s="1"/>
  <c r="C386" i="2"/>
  <c r="E385" i="2"/>
  <c r="F385" i="2" s="1"/>
  <c r="C385" i="2"/>
  <c r="E384" i="2"/>
  <c r="F384" i="2" s="1"/>
  <c r="C384" i="2"/>
  <c r="E383" i="2"/>
  <c r="F383" i="2" s="1"/>
  <c r="C383" i="2"/>
  <c r="E382" i="2"/>
  <c r="F382" i="2" s="1"/>
  <c r="C382" i="2"/>
  <c r="E381" i="2"/>
  <c r="F381" i="2" s="1"/>
  <c r="C381" i="2"/>
  <c r="E380" i="2"/>
  <c r="F380" i="2" s="1"/>
  <c r="C380" i="2"/>
  <c r="E379" i="2"/>
  <c r="F379" i="2" s="1"/>
  <c r="C379" i="2"/>
  <c r="E378" i="2"/>
  <c r="F378" i="2" s="1"/>
  <c r="C378" i="2"/>
  <c r="E377" i="2"/>
  <c r="F377" i="2" s="1"/>
  <c r="C377" i="2"/>
  <c r="E376" i="2"/>
  <c r="F376" i="2" s="1"/>
  <c r="C376" i="2"/>
  <c r="E375" i="2"/>
  <c r="F375" i="2" s="1"/>
  <c r="C375" i="2"/>
  <c r="E374" i="2"/>
  <c r="F374" i="2" s="1"/>
  <c r="C374" i="2"/>
  <c r="E373" i="2"/>
  <c r="F373" i="2" s="1"/>
  <c r="C373" i="2"/>
  <c r="E372" i="2"/>
  <c r="F372" i="2" s="1"/>
  <c r="C372" i="2"/>
  <c r="E371" i="2"/>
  <c r="F371" i="2" s="1"/>
  <c r="C371" i="2"/>
  <c r="E370" i="2"/>
  <c r="F370" i="2" s="1"/>
  <c r="C370" i="2"/>
  <c r="E369" i="2"/>
  <c r="F369" i="2" s="1"/>
  <c r="C369" i="2"/>
  <c r="E368" i="2"/>
  <c r="F368" i="2" s="1"/>
  <c r="C368" i="2"/>
  <c r="E367" i="2"/>
  <c r="F367" i="2" s="1"/>
  <c r="C367" i="2"/>
  <c r="E366" i="2"/>
  <c r="F366" i="2" s="1"/>
  <c r="C366" i="2"/>
  <c r="E365" i="2"/>
  <c r="F365" i="2" s="1"/>
  <c r="C365" i="2"/>
  <c r="E364" i="2"/>
  <c r="F364" i="2" s="1"/>
  <c r="C364" i="2"/>
  <c r="E363" i="2"/>
  <c r="F363" i="2" s="1"/>
  <c r="C363" i="2"/>
  <c r="E362" i="2"/>
  <c r="F362" i="2" s="1"/>
  <c r="C362" i="2"/>
  <c r="E361" i="2"/>
  <c r="F361" i="2" s="1"/>
  <c r="C361" i="2"/>
  <c r="E360" i="2"/>
  <c r="F360" i="2" s="1"/>
  <c r="C360" i="2"/>
  <c r="E359" i="2"/>
  <c r="F359" i="2" s="1"/>
  <c r="C359" i="2"/>
  <c r="E358" i="2"/>
  <c r="F358" i="2" s="1"/>
  <c r="C358" i="2"/>
  <c r="E357" i="2"/>
  <c r="F357" i="2" s="1"/>
  <c r="C357" i="2"/>
  <c r="E356" i="2"/>
  <c r="F356" i="2" s="1"/>
  <c r="C356" i="2"/>
  <c r="E355" i="2"/>
  <c r="F355" i="2" s="1"/>
  <c r="C355" i="2"/>
  <c r="E354" i="2"/>
  <c r="F354" i="2" s="1"/>
  <c r="C354" i="2"/>
  <c r="E353" i="2"/>
  <c r="F353" i="2" s="1"/>
  <c r="C353" i="2"/>
  <c r="E352" i="2"/>
  <c r="F352" i="2" s="1"/>
  <c r="C352" i="2"/>
  <c r="E351" i="2"/>
  <c r="F351" i="2" s="1"/>
  <c r="C351" i="2"/>
  <c r="E350" i="2"/>
  <c r="F350" i="2" s="1"/>
  <c r="C350" i="2"/>
  <c r="E349" i="2"/>
  <c r="F349" i="2" s="1"/>
  <c r="C349" i="2"/>
  <c r="E348" i="2"/>
  <c r="F348" i="2" s="1"/>
  <c r="C348" i="2"/>
  <c r="E347" i="2"/>
  <c r="F347" i="2" s="1"/>
  <c r="C347" i="2"/>
  <c r="E346" i="2"/>
  <c r="F346" i="2" s="1"/>
  <c r="C346" i="2"/>
  <c r="E345" i="2"/>
  <c r="F345" i="2" s="1"/>
  <c r="C345" i="2"/>
  <c r="E344" i="2"/>
  <c r="F344" i="2" s="1"/>
  <c r="C344" i="2"/>
  <c r="E343" i="2"/>
  <c r="F343" i="2" s="1"/>
  <c r="C343" i="2"/>
  <c r="E342" i="2"/>
  <c r="F342" i="2" s="1"/>
  <c r="C342" i="2"/>
  <c r="E341" i="2"/>
  <c r="F341" i="2" s="1"/>
  <c r="C341" i="2"/>
  <c r="E340" i="2"/>
  <c r="F340" i="2" s="1"/>
  <c r="C340" i="2"/>
  <c r="E339" i="2"/>
  <c r="F339" i="2" s="1"/>
  <c r="C339" i="2"/>
  <c r="E338" i="2"/>
  <c r="F338" i="2" s="1"/>
  <c r="C338" i="2"/>
  <c r="E337" i="2"/>
  <c r="F337" i="2" s="1"/>
  <c r="C337" i="2"/>
  <c r="E336" i="2"/>
  <c r="F336" i="2" s="1"/>
  <c r="C336" i="2"/>
  <c r="E335" i="2"/>
  <c r="F335" i="2" s="1"/>
  <c r="C335" i="2"/>
  <c r="E334" i="2"/>
  <c r="F334" i="2" s="1"/>
  <c r="C334" i="2"/>
  <c r="E333" i="2"/>
  <c r="F333" i="2" s="1"/>
  <c r="C333" i="2"/>
  <c r="E332" i="2"/>
  <c r="F332" i="2" s="1"/>
  <c r="C332" i="2"/>
  <c r="E331" i="2"/>
  <c r="F331" i="2" s="1"/>
  <c r="C331" i="2"/>
  <c r="E330" i="2"/>
  <c r="F330" i="2" s="1"/>
  <c r="C330" i="2"/>
  <c r="E329" i="2"/>
  <c r="F329" i="2" s="1"/>
  <c r="C329" i="2"/>
  <c r="E328" i="2"/>
  <c r="F328" i="2" s="1"/>
  <c r="C328" i="2"/>
  <c r="E327" i="2"/>
  <c r="F327" i="2" s="1"/>
  <c r="C327" i="2"/>
  <c r="E326" i="2"/>
  <c r="F326" i="2" s="1"/>
  <c r="C326" i="2"/>
  <c r="E325" i="2"/>
  <c r="F325" i="2" s="1"/>
  <c r="C325" i="2"/>
  <c r="E324" i="2"/>
  <c r="F324" i="2" s="1"/>
  <c r="C324" i="2"/>
  <c r="E323" i="2"/>
  <c r="F323" i="2" s="1"/>
  <c r="C323" i="2"/>
  <c r="E322" i="2"/>
  <c r="F322" i="2" s="1"/>
  <c r="C322" i="2"/>
  <c r="E321" i="2"/>
  <c r="F321" i="2" s="1"/>
  <c r="C321" i="2"/>
  <c r="E320" i="2"/>
  <c r="F320" i="2" s="1"/>
  <c r="C320" i="2"/>
  <c r="E319" i="2"/>
  <c r="F319" i="2" s="1"/>
  <c r="C319" i="2"/>
  <c r="E318" i="2"/>
  <c r="F318" i="2" s="1"/>
  <c r="C318" i="2"/>
  <c r="E317" i="2"/>
  <c r="F317" i="2" s="1"/>
  <c r="C317" i="2"/>
  <c r="E316" i="2"/>
  <c r="F316" i="2" s="1"/>
  <c r="C316" i="2"/>
  <c r="E315" i="2"/>
  <c r="F315" i="2" s="1"/>
  <c r="C315" i="2"/>
  <c r="E314" i="2"/>
  <c r="F314" i="2" s="1"/>
  <c r="C314" i="2"/>
  <c r="E313" i="2"/>
  <c r="F313" i="2" s="1"/>
  <c r="C313" i="2"/>
  <c r="E312" i="2"/>
  <c r="F312" i="2" s="1"/>
  <c r="C312" i="2"/>
  <c r="E311" i="2"/>
  <c r="F311" i="2" s="1"/>
  <c r="C311" i="2"/>
  <c r="E310" i="2"/>
  <c r="F310" i="2" s="1"/>
  <c r="C310" i="2"/>
  <c r="E309" i="2"/>
  <c r="F309" i="2" s="1"/>
  <c r="C309" i="2"/>
  <c r="E308" i="2"/>
  <c r="F308" i="2" s="1"/>
  <c r="C308" i="2"/>
  <c r="E307" i="2"/>
  <c r="F307" i="2" s="1"/>
  <c r="C307" i="2"/>
  <c r="E306" i="2"/>
  <c r="F306" i="2" s="1"/>
  <c r="C306" i="2"/>
  <c r="E305" i="2"/>
  <c r="F305" i="2" s="1"/>
  <c r="C305" i="2"/>
  <c r="E304" i="2"/>
  <c r="F304" i="2" s="1"/>
  <c r="C304" i="2"/>
  <c r="E303" i="2"/>
  <c r="F303" i="2" s="1"/>
  <c r="C303" i="2"/>
  <c r="E302" i="2"/>
  <c r="F302" i="2" s="1"/>
  <c r="C302" i="2"/>
  <c r="E301" i="2"/>
  <c r="F301" i="2" s="1"/>
  <c r="C301" i="2"/>
  <c r="E300" i="2"/>
  <c r="F300" i="2" s="1"/>
  <c r="C300" i="2"/>
  <c r="E299" i="2"/>
  <c r="F299" i="2" s="1"/>
  <c r="C299" i="2"/>
  <c r="E298" i="2"/>
  <c r="F298" i="2" s="1"/>
  <c r="C298" i="2"/>
  <c r="E297" i="2"/>
  <c r="F297" i="2" s="1"/>
  <c r="C297" i="2"/>
  <c r="E296" i="2"/>
  <c r="F296" i="2" s="1"/>
  <c r="C296" i="2"/>
  <c r="E295" i="2"/>
  <c r="F295" i="2" s="1"/>
  <c r="C295" i="2"/>
  <c r="E294" i="2"/>
  <c r="F294" i="2" s="1"/>
  <c r="C294" i="2"/>
  <c r="E293" i="2"/>
  <c r="F293" i="2" s="1"/>
  <c r="C293" i="2"/>
  <c r="E292" i="2"/>
  <c r="F292" i="2" s="1"/>
  <c r="C292" i="2"/>
  <c r="E291" i="2"/>
  <c r="F291" i="2" s="1"/>
  <c r="C291" i="2"/>
  <c r="E290" i="2"/>
  <c r="F290" i="2" s="1"/>
  <c r="C290" i="2"/>
  <c r="E289" i="2"/>
  <c r="F289" i="2" s="1"/>
  <c r="C289" i="2"/>
  <c r="E288" i="2"/>
  <c r="F288" i="2" s="1"/>
  <c r="C288" i="2"/>
  <c r="E287" i="2"/>
  <c r="F287" i="2" s="1"/>
  <c r="C287" i="2"/>
  <c r="E286" i="2"/>
  <c r="F286" i="2" s="1"/>
  <c r="C286" i="2"/>
  <c r="E285" i="2"/>
  <c r="F285" i="2" s="1"/>
  <c r="C285" i="2"/>
  <c r="E284" i="2"/>
  <c r="F284" i="2" s="1"/>
  <c r="C284" i="2"/>
  <c r="E283" i="2"/>
  <c r="F283" i="2" s="1"/>
  <c r="C283" i="2"/>
  <c r="E282" i="2"/>
  <c r="F282" i="2" s="1"/>
  <c r="C282" i="2"/>
  <c r="E281" i="2"/>
  <c r="F281" i="2" s="1"/>
  <c r="C281" i="2"/>
  <c r="E280" i="2"/>
  <c r="F280" i="2" s="1"/>
  <c r="C280" i="2"/>
  <c r="E279" i="2"/>
  <c r="F279" i="2" s="1"/>
  <c r="C279" i="2"/>
  <c r="E278" i="2"/>
  <c r="F278" i="2" s="1"/>
  <c r="C278" i="2"/>
  <c r="E277" i="2"/>
  <c r="F277" i="2" s="1"/>
  <c r="C277" i="2"/>
  <c r="E276" i="2"/>
  <c r="F276" i="2" s="1"/>
  <c r="C276" i="2"/>
  <c r="E275" i="2"/>
  <c r="F275" i="2" s="1"/>
  <c r="C275" i="2"/>
  <c r="E274" i="2"/>
  <c r="F274" i="2" s="1"/>
  <c r="C274" i="2"/>
  <c r="E273" i="2"/>
  <c r="F273" i="2" s="1"/>
  <c r="C273" i="2"/>
  <c r="E272" i="2"/>
  <c r="F272" i="2" s="1"/>
  <c r="C272" i="2"/>
  <c r="E271" i="2"/>
  <c r="F271" i="2" s="1"/>
  <c r="C271" i="2"/>
  <c r="E270" i="2"/>
  <c r="F270" i="2" s="1"/>
  <c r="C270" i="2"/>
  <c r="E269" i="2"/>
  <c r="F269" i="2" s="1"/>
  <c r="C269" i="2"/>
  <c r="E268" i="2"/>
  <c r="F268" i="2" s="1"/>
  <c r="C268" i="2"/>
  <c r="E267" i="2"/>
  <c r="F267" i="2" s="1"/>
  <c r="C267" i="2"/>
  <c r="E266" i="2"/>
  <c r="F266" i="2" s="1"/>
  <c r="C266" i="2"/>
  <c r="E265" i="2"/>
  <c r="F265" i="2" s="1"/>
  <c r="C265" i="2"/>
  <c r="E264" i="2"/>
  <c r="F264" i="2" s="1"/>
  <c r="C264" i="2"/>
  <c r="E263" i="2"/>
  <c r="F263" i="2" s="1"/>
  <c r="C263" i="2"/>
  <c r="E262" i="2"/>
  <c r="F262" i="2" s="1"/>
  <c r="C262" i="2"/>
  <c r="E261" i="2"/>
  <c r="F261" i="2" s="1"/>
  <c r="C261" i="2"/>
  <c r="E260" i="2"/>
  <c r="F260" i="2" s="1"/>
  <c r="C260" i="2"/>
  <c r="E259" i="2"/>
  <c r="F259" i="2" s="1"/>
  <c r="C259" i="2"/>
  <c r="E258" i="2"/>
  <c r="F258" i="2" s="1"/>
  <c r="C258" i="2"/>
  <c r="E257" i="2"/>
  <c r="F257" i="2" s="1"/>
  <c r="C257" i="2"/>
  <c r="E256" i="2"/>
  <c r="F256" i="2" s="1"/>
  <c r="C256" i="2"/>
  <c r="E255" i="2"/>
  <c r="F255" i="2" s="1"/>
  <c r="C255" i="2"/>
  <c r="E254" i="2"/>
  <c r="F254" i="2" s="1"/>
  <c r="C254" i="2"/>
  <c r="E253" i="2"/>
  <c r="F253" i="2" s="1"/>
  <c r="C253" i="2"/>
  <c r="E252" i="2"/>
  <c r="F252" i="2" s="1"/>
  <c r="C252" i="2"/>
  <c r="E251" i="2"/>
  <c r="F251" i="2" s="1"/>
  <c r="C251" i="2"/>
  <c r="E250" i="2"/>
  <c r="F250" i="2" s="1"/>
  <c r="C250" i="2"/>
  <c r="E249" i="2"/>
  <c r="F249" i="2" s="1"/>
  <c r="C249" i="2"/>
  <c r="E248" i="2"/>
  <c r="F248" i="2" s="1"/>
  <c r="C248" i="2"/>
  <c r="E247" i="2"/>
  <c r="F247" i="2" s="1"/>
  <c r="C247" i="2"/>
  <c r="E246" i="2"/>
  <c r="F246" i="2" s="1"/>
  <c r="C246" i="2"/>
  <c r="E245" i="2"/>
  <c r="F245" i="2" s="1"/>
  <c r="C245" i="2"/>
  <c r="E244" i="2"/>
  <c r="F244" i="2" s="1"/>
  <c r="C244" i="2"/>
  <c r="E243" i="2"/>
  <c r="F243" i="2" s="1"/>
  <c r="C243" i="2"/>
  <c r="E242" i="2"/>
  <c r="F242" i="2" s="1"/>
  <c r="C242" i="2"/>
  <c r="E241" i="2"/>
  <c r="F241" i="2" s="1"/>
  <c r="C241" i="2"/>
  <c r="E240" i="2"/>
  <c r="F240" i="2" s="1"/>
  <c r="C240" i="2"/>
  <c r="E239" i="2"/>
  <c r="F239" i="2" s="1"/>
  <c r="C239" i="2"/>
  <c r="E238" i="2"/>
  <c r="F238" i="2" s="1"/>
  <c r="C238" i="2"/>
  <c r="E237" i="2"/>
  <c r="F237" i="2" s="1"/>
  <c r="C237" i="2"/>
  <c r="E236" i="2"/>
  <c r="F236" i="2" s="1"/>
  <c r="C236" i="2"/>
  <c r="E235" i="2"/>
  <c r="F235" i="2" s="1"/>
  <c r="C235" i="2"/>
  <c r="E234" i="2"/>
  <c r="F234" i="2" s="1"/>
  <c r="C234" i="2"/>
  <c r="E233" i="2"/>
  <c r="F233" i="2" s="1"/>
  <c r="C233" i="2"/>
  <c r="E232" i="2"/>
  <c r="F232" i="2" s="1"/>
  <c r="C232" i="2"/>
  <c r="E231" i="2"/>
  <c r="F231" i="2" s="1"/>
  <c r="C231" i="2"/>
  <c r="E230" i="2"/>
  <c r="F230" i="2" s="1"/>
  <c r="C230" i="2"/>
  <c r="E229" i="2"/>
  <c r="F229" i="2" s="1"/>
  <c r="C229" i="2"/>
  <c r="E228" i="2"/>
  <c r="F228" i="2" s="1"/>
  <c r="C228" i="2"/>
  <c r="E227" i="2"/>
  <c r="F227" i="2" s="1"/>
  <c r="C227" i="2"/>
  <c r="E226" i="2"/>
  <c r="F226" i="2" s="1"/>
  <c r="C226" i="2"/>
  <c r="E225" i="2"/>
  <c r="F225" i="2" s="1"/>
  <c r="C225" i="2"/>
  <c r="E224" i="2"/>
  <c r="F224" i="2" s="1"/>
  <c r="C224" i="2"/>
  <c r="E223" i="2"/>
  <c r="F223" i="2" s="1"/>
  <c r="C223" i="2"/>
  <c r="E222" i="2"/>
  <c r="F222" i="2" s="1"/>
  <c r="C222" i="2"/>
  <c r="E221" i="2"/>
  <c r="F221" i="2" s="1"/>
  <c r="C221" i="2"/>
  <c r="E220" i="2"/>
  <c r="F220" i="2" s="1"/>
  <c r="C220" i="2"/>
  <c r="E219" i="2"/>
  <c r="F219" i="2" s="1"/>
  <c r="C219" i="2"/>
  <c r="E218" i="2"/>
  <c r="F218" i="2" s="1"/>
  <c r="C218" i="2"/>
  <c r="E217" i="2"/>
  <c r="F217" i="2" s="1"/>
  <c r="C217" i="2"/>
  <c r="E216" i="2"/>
  <c r="F216" i="2" s="1"/>
  <c r="C216" i="2"/>
  <c r="E215" i="2"/>
  <c r="F215" i="2" s="1"/>
  <c r="C215" i="2"/>
  <c r="E214" i="2"/>
  <c r="F214" i="2" s="1"/>
  <c r="C214" i="2"/>
  <c r="E213" i="2"/>
  <c r="F213" i="2" s="1"/>
  <c r="C213" i="2"/>
  <c r="E212" i="2"/>
  <c r="F212" i="2" s="1"/>
  <c r="C212" i="2"/>
  <c r="E211" i="2"/>
  <c r="F211" i="2" s="1"/>
  <c r="C211" i="2"/>
  <c r="E210" i="2"/>
  <c r="F210" i="2" s="1"/>
  <c r="C210" i="2"/>
  <c r="E209" i="2"/>
  <c r="F209" i="2" s="1"/>
  <c r="C209" i="2"/>
  <c r="E208" i="2"/>
  <c r="F208" i="2" s="1"/>
  <c r="C208" i="2"/>
  <c r="E207" i="2"/>
  <c r="F207" i="2" s="1"/>
  <c r="C207" i="2"/>
  <c r="E206" i="2"/>
  <c r="F206" i="2" s="1"/>
  <c r="C206" i="2"/>
  <c r="E205" i="2"/>
  <c r="F205" i="2" s="1"/>
  <c r="C205" i="2"/>
  <c r="E204" i="2"/>
  <c r="F204" i="2" s="1"/>
  <c r="C204" i="2"/>
  <c r="E203" i="2"/>
  <c r="F203" i="2" s="1"/>
  <c r="C203" i="2"/>
  <c r="E202" i="2"/>
  <c r="F202" i="2" s="1"/>
  <c r="C202" i="2"/>
  <c r="E201" i="2"/>
  <c r="F201" i="2" s="1"/>
  <c r="C201" i="2"/>
  <c r="E200" i="2"/>
  <c r="F200" i="2" s="1"/>
  <c r="C200" i="2"/>
  <c r="E199" i="2"/>
  <c r="F199" i="2" s="1"/>
  <c r="C199" i="2"/>
  <c r="E198" i="2"/>
  <c r="F198" i="2" s="1"/>
  <c r="C198" i="2"/>
  <c r="E197" i="2"/>
  <c r="F197" i="2" s="1"/>
  <c r="C197" i="2"/>
  <c r="E196" i="2"/>
  <c r="F196" i="2" s="1"/>
  <c r="C196" i="2"/>
  <c r="E195" i="2"/>
  <c r="F195" i="2" s="1"/>
  <c r="C195" i="2"/>
  <c r="E194" i="2"/>
  <c r="F194" i="2" s="1"/>
  <c r="C194" i="2"/>
  <c r="E193" i="2"/>
  <c r="F193" i="2" s="1"/>
  <c r="C193" i="2"/>
  <c r="E192" i="2"/>
  <c r="F192" i="2" s="1"/>
  <c r="C192" i="2"/>
  <c r="E191" i="2"/>
  <c r="F191" i="2" s="1"/>
  <c r="C191" i="2"/>
  <c r="E190" i="2"/>
  <c r="F190" i="2" s="1"/>
  <c r="C190" i="2"/>
  <c r="E189" i="2"/>
  <c r="F189" i="2" s="1"/>
  <c r="C189" i="2"/>
  <c r="E188" i="2"/>
  <c r="F188" i="2" s="1"/>
  <c r="C188" i="2"/>
  <c r="E187" i="2"/>
  <c r="F187" i="2" s="1"/>
  <c r="C187" i="2"/>
  <c r="E186" i="2"/>
  <c r="F186" i="2" s="1"/>
  <c r="C186" i="2"/>
  <c r="E185" i="2"/>
  <c r="F185" i="2" s="1"/>
  <c r="C185" i="2"/>
  <c r="E184" i="2"/>
  <c r="F184" i="2" s="1"/>
  <c r="C184" i="2"/>
  <c r="E183" i="2"/>
  <c r="F183" i="2" s="1"/>
  <c r="C183" i="2"/>
  <c r="E182" i="2"/>
  <c r="F182" i="2" s="1"/>
  <c r="C182" i="2"/>
  <c r="E181" i="2"/>
  <c r="F181" i="2" s="1"/>
  <c r="C181" i="2"/>
  <c r="E180" i="2"/>
  <c r="F180" i="2" s="1"/>
  <c r="C180" i="2"/>
  <c r="E179" i="2"/>
  <c r="F179" i="2" s="1"/>
  <c r="C179" i="2"/>
  <c r="E178" i="2"/>
  <c r="F178" i="2" s="1"/>
  <c r="C178" i="2"/>
  <c r="E177" i="2"/>
  <c r="F177" i="2" s="1"/>
  <c r="C177" i="2"/>
  <c r="E176" i="2"/>
  <c r="F176" i="2" s="1"/>
  <c r="C176" i="2"/>
  <c r="E175" i="2"/>
  <c r="F175" i="2" s="1"/>
  <c r="C175" i="2"/>
  <c r="E174" i="2"/>
  <c r="F174" i="2" s="1"/>
  <c r="C174" i="2"/>
  <c r="E173" i="2"/>
  <c r="F173" i="2" s="1"/>
  <c r="C173" i="2"/>
  <c r="E172" i="2"/>
  <c r="F172" i="2" s="1"/>
  <c r="C172" i="2"/>
  <c r="E171" i="2"/>
  <c r="F171" i="2" s="1"/>
  <c r="C171" i="2"/>
  <c r="E170" i="2"/>
  <c r="F170" i="2" s="1"/>
  <c r="C170" i="2"/>
  <c r="E169" i="2"/>
  <c r="F169" i="2" s="1"/>
  <c r="C169" i="2"/>
  <c r="E168" i="2"/>
  <c r="F168" i="2" s="1"/>
  <c r="C168" i="2"/>
  <c r="E167" i="2"/>
  <c r="F167" i="2" s="1"/>
  <c r="C167" i="2"/>
  <c r="E166" i="2"/>
  <c r="F166" i="2" s="1"/>
  <c r="C166" i="2"/>
  <c r="E165" i="2"/>
  <c r="F165" i="2" s="1"/>
  <c r="C165" i="2"/>
  <c r="E164" i="2"/>
  <c r="F164" i="2" s="1"/>
  <c r="C164" i="2"/>
  <c r="E163" i="2"/>
  <c r="F163" i="2" s="1"/>
  <c r="C163" i="2"/>
  <c r="E162" i="2"/>
  <c r="F162" i="2" s="1"/>
  <c r="C162" i="2"/>
  <c r="E161" i="2"/>
  <c r="F161" i="2" s="1"/>
  <c r="C161" i="2"/>
  <c r="E160" i="2"/>
  <c r="F160" i="2" s="1"/>
  <c r="C160" i="2"/>
  <c r="E159" i="2"/>
  <c r="F159" i="2" s="1"/>
  <c r="C159" i="2"/>
  <c r="E158" i="2"/>
  <c r="F158" i="2" s="1"/>
  <c r="C158" i="2"/>
  <c r="E157" i="2"/>
  <c r="F157" i="2" s="1"/>
  <c r="C157" i="2"/>
  <c r="E156" i="2"/>
  <c r="F156" i="2" s="1"/>
  <c r="C156" i="2"/>
  <c r="E155" i="2"/>
  <c r="F155" i="2" s="1"/>
  <c r="C155" i="2"/>
  <c r="E154" i="2"/>
  <c r="F154" i="2" s="1"/>
  <c r="C154" i="2"/>
  <c r="E153" i="2"/>
  <c r="F153" i="2" s="1"/>
  <c r="C153" i="2"/>
  <c r="E152" i="2"/>
  <c r="F152" i="2" s="1"/>
  <c r="C152" i="2"/>
  <c r="E151" i="2"/>
  <c r="F151" i="2" s="1"/>
  <c r="C151" i="2"/>
  <c r="E150" i="2"/>
  <c r="F150" i="2" s="1"/>
  <c r="C150" i="2"/>
  <c r="E149" i="2"/>
  <c r="F149" i="2" s="1"/>
  <c r="C149" i="2"/>
  <c r="E148" i="2"/>
  <c r="F148" i="2" s="1"/>
  <c r="C148" i="2"/>
  <c r="E147" i="2"/>
  <c r="F147" i="2" s="1"/>
  <c r="C147" i="2"/>
  <c r="E146" i="2"/>
  <c r="F146" i="2" s="1"/>
  <c r="C146" i="2"/>
  <c r="E145" i="2"/>
  <c r="F145" i="2" s="1"/>
  <c r="C145" i="2"/>
  <c r="E144" i="2"/>
  <c r="F144" i="2" s="1"/>
  <c r="C144" i="2"/>
  <c r="E143" i="2"/>
  <c r="F143" i="2" s="1"/>
  <c r="C143" i="2"/>
  <c r="E142" i="2"/>
  <c r="F142" i="2" s="1"/>
  <c r="C142" i="2"/>
  <c r="E141" i="2"/>
  <c r="F141" i="2" s="1"/>
  <c r="C141" i="2"/>
  <c r="E140" i="2"/>
  <c r="F140" i="2" s="1"/>
  <c r="C140" i="2"/>
  <c r="E139" i="2"/>
  <c r="F139" i="2" s="1"/>
  <c r="C139" i="2"/>
  <c r="E138" i="2"/>
  <c r="F138" i="2" s="1"/>
  <c r="C138" i="2"/>
  <c r="E137" i="2"/>
  <c r="F137" i="2" s="1"/>
  <c r="C137" i="2"/>
  <c r="E136" i="2"/>
  <c r="F136" i="2" s="1"/>
  <c r="C136" i="2"/>
  <c r="E135" i="2"/>
  <c r="F135" i="2" s="1"/>
  <c r="C135" i="2"/>
  <c r="E134" i="2"/>
  <c r="F134" i="2" s="1"/>
  <c r="C134" i="2"/>
  <c r="E133" i="2"/>
  <c r="F133" i="2" s="1"/>
  <c r="C133" i="2"/>
  <c r="E132" i="2"/>
  <c r="F132" i="2" s="1"/>
  <c r="C132" i="2"/>
  <c r="E131" i="2"/>
  <c r="F131" i="2" s="1"/>
  <c r="C131" i="2"/>
  <c r="E130" i="2"/>
  <c r="F130" i="2" s="1"/>
  <c r="C130" i="2"/>
  <c r="E129" i="2"/>
  <c r="F129" i="2" s="1"/>
  <c r="C129" i="2"/>
  <c r="E128" i="2"/>
  <c r="F128" i="2" s="1"/>
  <c r="C128" i="2"/>
  <c r="E127" i="2"/>
  <c r="F127" i="2" s="1"/>
  <c r="C127" i="2"/>
  <c r="E126" i="2"/>
  <c r="F126" i="2" s="1"/>
  <c r="C126" i="2"/>
  <c r="E125" i="2"/>
  <c r="F125" i="2" s="1"/>
  <c r="C125" i="2"/>
  <c r="E124" i="2"/>
  <c r="F124" i="2" s="1"/>
  <c r="C124" i="2"/>
  <c r="E123" i="2"/>
  <c r="F123" i="2" s="1"/>
  <c r="C123" i="2"/>
  <c r="E122" i="2"/>
  <c r="F122" i="2" s="1"/>
  <c r="C122" i="2"/>
  <c r="E121" i="2"/>
  <c r="F121" i="2" s="1"/>
  <c r="C121" i="2"/>
  <c r="E120" i="2"/>
  <c r="F120" i="2" s="1"/>
  <c r="C120" i="2"/>
  <c r="E119" i="2"/>
  <c r="F119" i="2" s="1"/>
  <c r="C119" i="2"/>
  <c r="E118" i="2"/>
  <c r="F118" i="2" s="1"/>
  <c r="C118" i="2"/>
  <c r="E117" i="2"/>
  <c r="F117" i="2" s="1"/>
  <c r="C117" i="2"/>
  <c r="E116" i="2"/>
  <c r="F116" i="2" s="1"/>
  <c r="C116" i="2"/>
  <c r="E115" i="2"/>
  <c r="F115" i="2" s="1"/>
  <c r="C115" i="2"/>
  <c r="E114" i="2"/>
  <c r="F114" i="2" s="1"/>
  <c r="C114" i="2"/>
  <c r="E113" i="2"/>
  <c r="F113" i="2" s="1"/>
  <c r="C113" i="2"/>
  <c r="E112" i="2"/>
  <c r="F112" i="2" s="1"/>
  <c r="C112" i="2"/>
  <c r="E111" i="2"/>
  <c r="F111" i="2" s="1"/>
  <c r="C111" i="2"/>
  <c r="E110" i="2"/>
  <c r="F110" i="2" s="1"/>
  <c r="C110" i="2"/>
  <c r="E109" i="2"/>
  <c r="F109" i="2" s="1"/>
  <c r="C109" i="2"/>
  <c r="E108" i="2"/>
  <c r="F108" i="2" s="1"/>
  <c r="C108" i="2"/>
  <c r="E107" i="2"/>
  <c r="F107" i="2" s="1"/>
  <c r="C107" i="2"/>
  <c r="E106" i="2"/>
  <c r="F106" i="2" s="1"/>
  <c r="C106" i="2"/>
  <c r="E105" i="2"/>
  <c r="F105" i="2" s="1"/>
  <c r="C105" i="2"/>
  <c r="E104" i="2"/>
  <c r="F104" i="2" s="1"/>
  <c r="C104" i="2"/>
  <c r="E103" i="2"/>
  <c r="F103" i="2" s="1"/>
  <c r="C103" i="2"/>
  <c r="E102" i="2"/>
  <c r="F102" i="2" s="1"/>
  <c r="C102" i="2"/>
  <c r="E101" i="2"/>
  <c r="F101" i="2" s="1"/>
  <c r="C101" i="2"/>
  <c r="E100" i="2"/>
  <c r="F100" i="2" s="1"/>
  <c r="C100" i="2"/>
  <c r="E99" i="2"/>
  <c r="F99" i="2" s="1"/>
  <c r="C99" i="2"/>
  <c r="E98" i="2"/>
  <c r="F98" i="2" s="1"/>
  <c r="C98" i="2"/>
  <c r="E97" i="2"/>
  <c r="F97" i="2" s="1"/>
  <c r="C97" i="2"/>
  <c r="E96" i="2"/>
  <c r="F96" i="2" s="1"/>
  <c r="C96" i="2"/>
  <c r="E95" i="2"/>
  <c r="F95" i="2" s="1"/>
  <c r="C95" i="2"/>
  <c r="E94" i="2"/>
  <c r="F94" i="2" s="1"/>
  <c r="C94" i="2"/>
  <c r="E93" i="2"/>
  <c r="F93" i="2" s="1"/>
  <c r="C93" i="2"/>
  <c r="E92" i="2"/>
  <c r="F92" i="2" s="1"/>
  <c r="C92" i="2"/>
  <c r="E91" i="2"/>
  <c r="F91" i="2" s="1"/>
  <c r="C91" i="2"/>
  <c r="E90" i="2"/>
  <c r="F90" i="2" s="1"/>
  <c r="C90" i="2"/>
  <c r="E89" i="2"/>
  <c r="F89" i="2" s="1"/>
  <c r="C89" i="2"/>
  <c r="E88" i="2"/>
  <c r="F88" i="2" s="1"/>
  <c r="C88" i="2"/>
  <c r="E87" i="2"/>
  <c r="F87" i="2" s="1"/>
  <c r="C87" i="2"/>
  <c r="E86" i="2"/>
  <c r="F86" i="2" s="1"/>
  <c r="C86" i="2"/>
  <c r="E85" i="2"/>
  <c r="F85" i="2" s="1"/>
  <c r="C85" i="2"/>
  <c r="E84" i="2"/>
  <c r="F84" i="2" s="1"/>
  <c r="C84" i="2"/>
  <c r="E83" i="2"/>
  <c r="F83" i="2" s="1"/>
  <c r="C83" i="2"/>
  <c r="E82" i="2"/>
  <c r="F82" i="2" s="1"/>
  <c r="C82" i="2"/>
  <c r="E81" i="2"/>
  <c r="F81" i="2" s="1"/>
  <c r="C81" i="2"/>
  <c r="E80" i="2"/>
  <c r="F80" i="2" s="1"/>
  <c r="C80" i="2"/>
  <c r="E79" i="2"/>
  <c r="F79" i="2" s="1"/>
  <c r="C79" i="2"/>
  <c r="E78" i="2"/>
  <c r="F78" i="2" s="1"/>
  <c r="C78" i="2"/>
  <c r="E77" i="2"/>
  <c r="F77" i="2" s="1"/>
  <c r="C77" i="2"/>
  <c r="E76" i="2"/>
  <c r="F76" i="2" s="1"/>
  <c r="C76" i="2"/>
  <c r="E75" i="2"/>
  <c r="F75" i="2" s="1"/>
  <c r="C75" i="2"/>
  <c r="E74" i="2"/>
  <c r="F74" i="2" s="1"/>
  <c r="C74" i="2"/>
  <c r="E73" i="2"/>
  <c r="F73" i="2" s="1"/>
  <c r="C73" i="2"/>
  <c r="E72" i="2"/>
  <c r="F72" i="2" s="1"/>
  <c r="C72" i="2"/>
  <c r="E71" i="2"/>
  <c r="F71" i="2" s="1"/>
  <c r="C71" i="2"/>
  <c r="E70" i="2"/>
  <c r="F70" i="2" s="1"/>
  <c r="C70" i="2"/>
  <c r="E69" i="2"/>
  <c r="F69" i="2" s="1"/>
  <c r="C69" i="2"/>
  <c r="E68" i="2"/>
  <c r="F68" i="2" s="1"/>
  <c r="C68" i="2"/>
  <c r="E67" i="2"/>
  <c r="F67" i="2" s="1"/>
  <c r="C67" i="2"/>
  <c r="E66" i="2"/>
  <c r="F66" i="2" s="1"/>
  <c r="C66" i="2"/>
  <c r="E65" i="2"/>
  <c r="F65" i="2" s="1"/>
  <c r="C65" i="2"/>
  <c r="E64" i="2"/>
  <c r="F64" i="2" s="1"/>
  <c r="C64" i="2"/>
  <c r="E63" i="2"/>
  <c r="F63" i="2" s="1"/>
  <c r="C63" i="2"/>
  <c r="E62" i="2"/>
  <c r="F62" i="2" s="1"/>
  <c r="C62" i="2"/>
  <c r="E61" i="2"/>
  <c r="F61" i="2" s="1"/>
  <c r="C61" i="2"/>
  <c r="E60" i="2"/>
  <c r="F60" i="2" s="1"/>
  <c r="C60" i="2"/>
  <c r="E59" i="2"/>
  <c r="F59" i="2" s="1"/>
  <c r="C59" i="2"/>
  <c r="E58" i="2"/>
  <c r="F58" i="2" s="1"/>
  <c r="C58" i="2"/>
  <c r="E57" i="2"/>
  <c r="F57" i="2" s="1"/>
  <c r="C57" i="2"/>
  <c r="E56" i="2"/>
  <c r="F56" i="2" s="1"/>
  <c r="C56" i="2"/>
  <c r="E55" i="2"/>
  <c r="F55" i="2" s="1"/>
  <c r="C55" i="2"/>
  <c r="E54" i="2"/>
  <c r="F54" i="2" s="1"/>
  <c r="C54" i="2"/>
  <c r="E53" i="2"/>
  <c r="F53" i="2" s="1"/>
  <c r="C53" i="2"/>
  <c r="E52" i="2"/>
  <c r="F52" i="2" s="1"/>
  <c r="C52" i="2"/>
  <c r="E51" i="2"/>
  <c r="F51" i="2" s="1"/>
  <c r="C51" i="2"/>
  <c r="E50" i="2"/>
  <c r="F50" i="2" s="1"/>
  <c r="C50" i="2"/>
  <c r="E49" i="2"/>
  <c r="F49" i="2" s="1"/>
  <c r="C49" i="2"/>
  <c r="E48" i="2"/>
  <c r="F48" i="2" s="1"/>
  <c r="C48" i="2"/>
  <c r="E47" i="2"/>
  <c r="F47" i="2" s="1"/>
  <c r="C47" i="2"/>
  <c r="E46" i="2"/>
  <c r="F46" i="2" s="1"/>
  <c r="C46" i="2"/>
  <c r="E45" i="2"/>
  <c r="F45" i="2" s="1"/>
  <c r="C45" i="2"/>
  <c r="E44" i="2"/>
  <c r="F44" i="2" s="1"/>
  <c r="C44" i="2"/>
  <c r="E43" i="2"/>
  <c r="F43" i="2" s="1"/>
  <c r="C43" i="2"/>
  <c r="E42" i="2"/>
  <c r="F42" i="2" s="1"/>
  <c r="C42" i="2"/>
  <c r="E41" i="2"/>
  <c r="F41" i="2" s="1"/>
  <c r="C41" i="2"/>
  <c r="E40" i="2"/>
  <c r="F40" i="2" s="1"/>
  <c r="C40" i="2"/>
  <c r="E39" i="2"/>
  <c r="F39" i="2" s="1"/>
  <c r="C39" i="2"/>
  <c r="E38" i="2"/>
  <c r="F38" i="2" s="1"/>
  <c r="C38" i="2"/>
  <c r="E37" i="2"/>
  <c r="F37" i="2" s="1"/>
  <c r="C37" i="2"/>
  <c r="E36" i="2"/>
  <c r="F36" i="2" s="1"/>
  <c r="C36" i="2"/>
  <c r="E35" i="2"/>
  <c r="F35" i="2" s="1"/>
  <c r="C35" i="2"/>
  <c r="E34" i="2"/>
  <c r="F34" i="2" s="1"/>
  <c r="C34" i="2"/>
  <c r="E33" i="2"/>
  <c r="F33" i="2" s="1"/>
  <c r="C33" i="2"/>
  <c r="E32" i="2"/>
  <c r="F32" i="2" s="1"/>
  <c r="C32" i="2"/>
  <c r="E31" i="2"/>
  <c r="F31" i="2" s="1"/>
  <c r="C31" i="2"/>
  <c r="E30" i="2"/>
  <c r="F30" i="2" s="1"/>
  <c r="C30" i="2"/>
  <c r="E29" i="2"/>
  <c r="F29" i="2" s="1"/>
  <c r="C29" i="2"/>
  <c r="E28" i="2"/>
  <c r="F28" i="2" s="1"/>
  <c r="C28" i="2"/>
  <c r="E27" i="2"/>
  <c r="F27" i="2" s="1"/>
  <c r="C27" i="2"/>
  <c r="E26" i="2"/>
  <c r="F26" i="2" s="1"/>
  <c r="C26" i="2"/>
  <c r="E25" i="2"/>
  <c r="F25" i="2" s="1"/>
  <c r="C25" i="2"/>
  <c r="E24" i="2"/>
  <c r="F24" i="2" s="1"/>
  <c r="C24" i="2"/>
  <c r="E23" i="2"/>
  <c r="F23" i="2" s="1"/>
  <c r="C23" i="2"/>
  <c r="E22" i="2"/>
  <c r="F22" i="2" s="1"/>
  <c r="C22" i="2"/>
  <c r="E21" i="2"/>
  <c r="F21" i="2" s="1"/>
  <c r="C21" i="2"/>
  <c r="E20" i="2"/>
  <c r="F20" i="2" s="1"/>
  <c r="C20" i="2"/>
  <c r="E19" i="2"/>
  <c r="F19" i="2" s="1"/>
  <c r="C19" i="2"/>
  <c r="E18" i="2"/>
  <c r="F18" i="2" s="1"/>
  <c r="C18" i="2"/>
  <c r="E17" i="2"/>
  <c r="F17" i="2" s="1"/>
  <c r="C17" i="2"/>
  <c r="E16" i="2"/>
  <c r="F16" i="2" s="1"/>
  <c r="C16" i="2"/>
  <c r="E15" i="2"/>
  <c r="F15" i="2" s="1"/>
  <c r="C15" i="2"/>
  <c r="E14" i="2"/>
  <c r="F14" i="2" s="1"/>
  <c r="C14" i="2"/>
  <c r="E13" i="2"/>
  <c r="F13" i="2" s="1"/>
  <c r="C13" i="2"/>
  <c r="E12" i="2"/>
  <c r="F12" i="2" s="1"/>
  <c r="C12" i="2"/>
  <c r="E11" i="2"/>
  <c r="F11" i="2" s="1"/>
  <c r="C11" i="2"/>
  <c r="E10" i="2"/>
  <c r="F10" i="2" s="1"/>
  <c r="C10" i="2"/>
  <c r="E9" i="2"/>
  <c r="F9" i="2" s="1"/>
  <c r="C9" i="2"/>
  <c r="E8" i="2"/>
  <c r="F8" i="2" s="1"/>
  <c r="C8" i="2"/>
  <c r="E7" i="2"/>
  <c r="F7" i="2" s="1"/>
  <c r="C7" i="2"/>
  <c r="E6" i="2"/>
  <c r="F6" i="2" s="1"/>
  <c r="C6" i="2"/>
  <c r="C5" i="2"/>
  <c r="C4" i="2"/>
  <c r="C3" i="2"/>
  <c r="C2" i="2"/>
  <c r="E169" i="1"/>
  <c r="E167" i="1"/>
  <c r="E164" i="1"/>
  <c r="E161" i="1"/>
  <c r="E160" i="1"/>
  <c r="E153" i="1"/>
  <c r="E151" i="1"/>
  <c r="E141" i="1"/>
  <c r="E105" i="1"/>
  <c r="E104" i="1"/>
  <c r="E102" i="1"/>
  <c r="E98" i="1"/>
  <c r="E97" i="1"/>
  <c r="E91" i="1"/>
  <c r="E89" i="1"/>
  <c r="E85" i="1"/>
  <c r="E82" i="1"/>
  <c r="E74" i="1"/>
  <c r="E70" i="1"/>
  <c r="E68" i="1"/>
  <c r="E67" i="1"/>
  <c r="E63" i="1"/>
  <c r="E60" i="1"/>
  <c r="E58" i="1"/>
  <c r="E50" i="1"/>
  <c r="E49" i="1"/>
  <c r="E36" i="1"/>
  <c r="E35" i="1"/>
  <c r="E34" i="1"/>
  <c r="E21" i="1"/>
  <c r="E20" i="1"/>
  <c r="E7" i="1"/>
  <c r="B8" i="6" l="1"/>
  <c r="B7" i="6"/>
  <c r="B6" i="6"/>
  <c r="B13" i="6"/>
  <c r="B5" i="6"/>
  <c r="B12" i="6"/>
  <c r="B4" i="6"/>
  <c r="B11" i="6"/>
  <c r="B3" i="6"/>
  <c r="B10" i="6"/>
  <c r="B2" i="6"/>
  <c r="B9" i="6"/>
  <c r="B3" i="5"/>
  <c r="B5" i="5" s="1"/>
</calcChain>
</file>

<file path=xl/sharedStrings.xml><?xml version="1.0" encoding="utf-8"?>
<sst xmlns="http://schemas.openxmlformats.org/spreadsheetml/2006/main" count="952" uniqueCount="931">
  <si>
    <t>Product ID</t>
  </si>
  <si>
    <t>Product Name</t>
  </si>
  <si>
    <t>Category</t>
  </si>
  <si>
    <t>Cost Price</t>
  </si>
  <si>
    <t>Selling Price</t>
  </si>
  <si>
    <t>Stock Quantity</t>
  </si>
  <si>
    <t>Reorder Level</t>
  </si>
  <si>
    <t>Expiry Date</t>
  </si>
  <si>
    <t>Date</t>
  </si>
  <si>
    <t>Quantity Sold</t>
  </si>
  <si>
    <t>Unit Price</t>
  </si>
  <si>
    <t>Total Price</t>
  </si>
  <si>
    <t>Payment Method</t>
  </si>
  <si>
    <t>Quantity</t>
  </si>
  <si>
    <t>Total Cost</t>
  </si>
  <si>
    <t>Description</t>
  </si>
  <si>
    <t>Amount</t>
  </si>
  <si>
    <t>Paid By</t>
  </si>
  <si>
    <t>PREMIUM COSMETICS SHOP DASHBOARD</t>
  </si>
  <si>
    <t>Total Sales:</t>
  </si>
  <si>
    <t>Total Expenses:</t>
  </si>
  <si>
    <t>Net Profit:</t>
  </si>
  <si>
    <t>Top Section: Monthly Sales Chart Below</t>
  </si>
  <si>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</si>
  <si>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</si>
  <si>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</si>
  <si>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</si>
  <si>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</si>
  <si>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</si>
  <si>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</si>
  <si>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</si>
  <si>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</si>
  <si>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</si>
  <si>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</si>
  <si>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</si>
  <si>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</si>
  <si>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</si>
  <si>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SIMPLE POS INTERFACE</t>
  </si>
  <si>
    <t>Auto Price</t>
  </si>
  <si>
    <t>Total</t>
  </si>
  <si>
    <t>P1</t>
  </si>
  <si>
    <t xml:space="preserve">April </t>
  </si>
  <si>
    <t>Cream</t>
  </si>
  <si>
    <t>Kojic Sen Soap</t>
  </si>
  <si>
    <t>Dr. Teals lotion</t>
  </si>
  <si>
    <t xml:space="preserve">Besmid Bath Large </t>
  </si>
  <si>
    <t>Iman Bath Large</t>
  </si>
  <si>
    <t>Makari Bath Large</t>
  </si>
  <si>
    <t>Dr. Teals Bath Large</t>
  </si>
  <si>
    <t>Kojic Sen Bath Large</t>
  </si>
  <si>
    <t>Dove Bath Large</t>
  </si>
  <si>
    <t>Nano Bath Large</t>
  </si>
  <si>
    <t>Golden Glow Bath Large</t>
  </si>
  <si>
    <t>B-Glow Shower Large</t>
  </si>
  <si>
    <t>Felce Azzura Bath Large</t>
  </si>
  <si>
    <t>Palmolive Bath Large</t>
  </si>
  <si>
    <t>Style Up Shower Large</t>
  </si>
  <si>
    <t>GS 77 shampoo Large</t>
  </si>
  <si>
    <t xml:space="preserve">Lotion </t>
  </si>
  <si>
    <t>Vaseline daily brightening medium</t>
  </si>
  <si>
    <t>Vaseline daily brightening small</t>
  </si>
  <si>
    <t xml:space="preserve">Vaseline Lotion </t>
  </si>
  <si>
    <t xml:space="preserve">Skin pilar Lotion </t>
  </si>
  <si>
    <t xml:space="preserve">Palmers Lotion </t>
  </si>
  <si>
    <t xml:space="preserve">Palmers cream large </t>
  </si>
  <si>
    <t xml:space="preserve">Smooth diamond Lotion large </t>
  </si>
  <si>
    <t xml:space="preserve">Pure Egyptian gold Lotion </t>
  </si>
  <si>
    <t>Ellen Beauty lotion</t>
  </si>
  <si>
    <t>Palmer’s body oil</t>
  </si>
  <si>
    <t>Palmer's skin therapy oil</t>
  </si>
  <si>
    <t>Cure lala large</t>
  </si>
  <si>
    <t>Lumine gold Lotion</t>
  </si>
  <si>
    <t xml:space="preserve">Ensure Shake </t>
  </si>
  <si>
    <t>Skin doctor</t>
  </si>
  <si>
    <t>Oly Lotion</t>
  </si>
  <si>
    <t xml:space="preserve">Rubee Lotion </t>
  </si>
  <si>
    <t>Pure white gold large</t>
  </si>
  <si>
    <t xml:space="preserve">Pure white gold small </t>
  </si>
  <si>
    <t xml:space="preserve">Perly lotion large </t>
  </si>
  <si>
    <t xml:space="preserve">Rapid clair Lotion large </t>
  </si>
  <si>
    <t>Elixerlight Lotion large</t>
  </si>
  <si>
    <t xml:space="preserve">Elixerlight Lotion small </t>
  </si>
  <si>
    <t xml:space="preserve">Cocoderm Lotion large </t>
  </si>
  <si>
    <t xml:space="preserve">Cocoderm Lotion medium </t>
  </si>
  <si>
    <t>Cocoderm Lotion small</t>
  </si>
  <si>
    <t xml:space="preserve">Kris Lotion Large </t>
  </si>
  <si>
    <t xml:space="preserve">CT+ Lotion large </t>
  </si>
  <si>
    <t xml:space="preserve">Dammy Lotion Large </t>
  </si>
  <si>
    <t xml:space="preserve">Dammy Lotion Small </t>
  </si>
  <si>
    <t xml:space="preserve">Mega white Lotion Large </t>
  </si>
  <si>
    <t xml:space="preserve">Mega white Lotion Small </t>
  </si>
  <si>
    <t xml:space="preserve">Beauty clinic Lotion large </t>
  </si>
  <si>
    <t xml:space="preserve">Beauty clinic Lotion small </t>
  </si>
  <si>
    <t>Day by day Lotion large</t>
  </si>
  <si>
    <t xml:space="preserve">Day by day Lotion medium </t>
  </si>
  <si>
    <t xml:space="preserve">Day by day Lotion small </t>
  </si>
  <si>
    <t xml:space="preserve">Dream Skin Lotion large </t>
  </si>
  <si>
    <t xml:space="preserve">Dream Skin Lotion small </t>
  </si>
  <si>
    <t xml:space="preserve">Egg Skin lotion large </t>
  </si>
  <si>
    <t xml:space="preserve">Egg Skin lotion small </t>
  </si>
  <si>
    <t xml:space="preserve">Light Up Lotion large </t>
  </si>
  <si>
    <t xml:space="preserve">Light Up Lotion small </t>
  </si>
  <si>
    <t>Precious Lotion large</t>
  </si>
  <si>
    <t xml:space="preserve">Precious Lotion small </t>
  </si>
  <si>
    <t>Dodo Lotion Large</t>
  </si>
  <si>
    <t xml:space="preserve">Dodo Lotion Small </t>
  </si>
  <si>
    <t xml:space="preserve">7 days Lotion large </t>
  </si>
  <si>
    <t xml:space="preserve">7 days Lotion small </t>
  </si>
  <si>
    <t>Insta White Lotion large</t>
  </si>
  <si>
    <t xml:space="preserve">Insta White Lotion medium </t>
  </si>
  <si>
    <t xml:space="preserve">Insta White Lotion small </t>
  </si>
  <si>
    <t xml:space="preserve">Caretone Lotion large </t>
  </si>
  <si>
    <t xml:space="preserve">Caretone Lotion small </t>
  </si>
  <si>
    <t>White Cat Lotion Small</t>
  </si>
  <si>
    <t xml:space="preserve">DES Lotion large </t>
  </si>
  <si>
    <t xml:space="preserve">DES Lotion medium </t>
  </si>
  <si>
    <t xml:space="preserve">DES Lotion small </t>
  </si>
  <si>
    <t xml:space="preserve">DES shower large </t>
  </si>
  <si>
    <t xml:space="preserve">DES shower small </t>
  </si>
  <si>
    <t>Nivea RN Lotion</t>
  </si>
  <si>
    <t>Nivea Cocoa Lotion</t>
  </si>
  <si>
    <t>Nivea PR Lotion</t>
  </si>
  <si>
    <t>Nivea Q10 Lotion</t>
  </si>
  <si>
    <t xml:space="preserve">Nivea RB lotion </t>
  </si>
  <si>
    <t>Stretch mark cream</t>
  </si>
  <si>
    <t>Rose hand cream large</t>
  </si>
  <si>
    <t xml:space="preserve">Strawberry hand cream small </t>
  </si>
  <si>
    <t xml:space="preserve">Amis cream Medium </t>
  </si>
  <si>
    <t xml:space="preserve">Amis oil </t>
  </si>
  <si>
    <t>Vaseline VC oil</t>
  </si>
  <si>
    <t xml:space="preserve">Easy glow Lotion </t>
  </si>
  <si>
    <t>Johnson Baby oil medium</t>
  </si>
  <si>
    <t xml:space="preserve">Johnson Baby oil small </t>
  </si>
  <si>
    <t>Teen's and Kids body millk</t>
  </si>
  <si>
    <t xml:space="preserve">Kleencarrot Lotion </t>
  </si>
  <si>
    <t xml:space="preserve">Pure no marks facial </t>
  </si>
  <si>
    <t xml:space="preserve">Baby face cream </t>
  </si>
  <si>
    <t>Active Clear face Cream</t>
  </si>
  <si>
    <t xml:space="preserve">G. White Facial </t>
  </si>
  <si>
    <t>Dr Rashel Facial</t>
  </si>
  <si>
    <t>Dr Rashel Serum</t>
  </si>
  <si>
    <t>Parley facial</t>
  </si>
  <si>
    <t xml:space="preserve">Dr Rashel Sun Screen </t>
  </si>
  <si>
    <t>Simple face wash large</t>
  </si>
  <si>
    <t>Simple face wash small</t>
  </si>
  <si>
    <t xml:space="preserve">Simple facial scrub </t>
  </si>
  <si>
    <t>Feminine wash</t>
  </si>
  <si>
    <t xml:space="preserve">Wart removal </t>
  </si>
  <si>
    <t xml:space="preserve">Nufuteng Cream medium </t>
  </si>
  <si>
    <t>HI - Stee</t>
  </si>
  <si>
    <t xml:space="preserve">B.B clear Lotion large </t>
  </si>
  <si>
    <t xml:space="preserve">B.B clear Lotion small </t>
  </si>
  <si>
    <t xml:space="preserve">Effimax Spot Soap Medium </t>
  </si>
  <si>
    <t xml:space="preserve">Effimax Spot soap small </t>
  </si>
  <si>
    <t xml:space="preserve">Body fashion large </t>
  </si>
  <si>
    <t xml:space="preserve">Body fashion medium </t>
  </si>
  <si>
    <t xml:space="preserve">Body fashion small </t>
  </si>
  <si>
    <t xml:space="preserve">Luky star </t>
  </si>
  <si>
    <t>Lip ice</t>
  </si>
  <si>
    <t xml:space="preserve">Fair child lotion </t>
  </si>
  <si>
    <t>Olaybact Kids Lotion</t>
  </si>
  <si>
    <t>Kids and more lotion</t>
  </si>
  <si>
    <t>Kids glow Lotion</t>
  </si>
  <si>
    <t xml:space="preserve">Nature Secret Lotion medium </t>
  </si>
  <si>
    <t>Formula one Lotion Small</t>
  </si>
  <si>
    <t>Always young Cream</t>
  </si>
  <si>
    <t xml:space="preserve">Always young Lotion </t>
  </si>
  <si>
    <t>Always young Shower</t>
  </si>
  <si>
    <t>K Skins Shower</t>
  </si>
  <si>
    <t>Perfect glow  lotion large</t>
  </si>
  <si>
    <t xml:space="preserve">Perfect glow  lotion medium </t>
  </si>
  <si>
    <t xml:space="preserve">Perfect glow  lotion small </t>
  </si>
  <si>
    <t xml:space="preserve">Perfect glow  shower large </t>
  </si>
  <si>
    <t xml:space="preserve">Perfect glow  shower small </t>
  </si>
  <si>
    <t xml:space="preserve">Perfect white shower large </t>
  </si>
  <si>
    <t xml:space="preserve">White Secret Lotion large </t>
  </si>
  <si>
    <t xml:space="preserve">White Secret Lotion medium </t>
  </si>
  <si>
    <t xml:space="preserve">White Secret Lotion small </t>
  </si>
  <si>
    <t xml:space="preserve">White Secret Shower large </t>
  </si>
  <si>
    <t xml:space="preserve">White Secret Shower small </t>
  </si>
  <si>
    <t xml:space="preserve">White Secret facial </t>
  </si>
  <si>
    <t>White Secret Serum</t>
  </si>
  <si>
    <t xml:space="preserve">Light up Lotion large </t>
  </si>
  <si>
    <t xml:space="preserve">Light up Lotion small </t>
  </si>
  <si>
    <t xml:space="preserve">Light up shower </t>
  </si>
  <si>
    <t xml:space="preserve">Tender white large </t>
  </si>
  <si>
    <t xml:space="preserve">Tender white small </t>
  </si>
  <si>
    <t xml:space="preserve">Olive Vera lotion large </t>
  </si>
  <si>
    <t xml:space="preserve">Olive Vera lotion medium </t>
  </si>
  <si>
    <t xml:space="preserve">Olive Vera lotion small </t>
  </si>
  <si>
    <t xml:space="preserve">Citro Clear lotion large </t>
  </si>
  <si>
    <t xml:space="preserve">Citro Clear lotion medium </t>
  </si>
  <si>
    <t xml:space="preserve">Citro Clear lotion small </t>
  </si>
  <si>
    <t xml:space="preserve">Lemon clear lotion large </t>
  </si>
  <si>
    <t xml:space="preserve">Lemon clear lotion small </t>
  </si>
  <si>
    <t xml:space="preserve">Pure skin Lotion large </t>
  </si>
  <si>
    <t xml:space="preserve">Inova Lotion medium </t>
  </si>
  <si>
    <t xml:space="preserve">Inova Lotion small </t>
  </si>
  <si>
    <t xml:space="preserve">Skin light Gluta C Lotion large </t>
  </si>
  <si>
    <t xml:space="preserve">Skin light Gluta C Lotion small </t>
  </si>
  <si>
    <t xml:space="preserve">Razac Lotion </t>
  </si>
  <si>
    <t xml:space="preserve">Pawpaw Lotion large </t>
  </si>
  <si>
    <t xml:space="preserve">Pawpaw Lotion medium </t>
  </si>
  <si>
    <t xml:space="preserve">Pawpaw Lotion small </t>
  </si>
  <si>
    <t xml:space="preserve">Avovita Lotion large </t>
  </si>
  <si>
    <t xml:space="preserve">Avovita Lotion small </t>
  </si>
  <si>
    <t xml:space="preserve">Easy white Lotion </t>
  </si>
  <si>
    <t xml:space="preserve">Easy white shower </t>
  </si>
  <si>
    <t xml:space="preserve">Mega white Lotion large </t>
  </si>
  <si>
    <t xml:space="preserve">Mega white Lotion small </t>
  </si>
  <si>
    <t>Effimax Lotion large</t>
  </si>
  <si>
    <t xml:space="preserve">Effimax Lotion medium </t>
  </si>
  <si>
    <t xml:space="preserve">Effimax Lotion small </t>
  </si>
  <si>
    <t xml:space="preserve">Perfect Skin Lotion </t>
  </si>
  <si>
    <t>Carotone lotion large</t>
  </si>
  <si>
    <t xml:space="preserve">Carotone lotion medium </t>
  </si>
  <si>
    <t xml:space="preserve">Carotone lotion small </t>
  </si>
  <si>
    <t xml:space="preserve">Cocodern Cream medium </t>
  </si>
  <si>
    <t xml:space="preserve">Cocoderm Cream small </t>
  </si>
  <si>
    <t xml:space="preserve">Cocoderm Shower large </t>
  </si>
  <si>
    <t xml:space="preserve">Cocoderm Shower small </t>
  </si>
  <si>
    <t>Fresh gel</t>
  </si>
  <si>
    <t xml:space="preserve">Insta white shower </t>
  </si>
  <si>
    <t xml:space="preserve">77 Shampoo large </t>
  </si>
  <si>
    <t xml:space="preserve">77 Shampoo small </t>
  </si>
  <si>
    <t xml:space="preserve">Abana lotion large </t>
  </si>
  <si>
    <t xml:space="preserve">Abana lotion small </t>
  </si>
  <si>
    <t xml:space="preserve">Abana shower large </t>
  </si>
  <si>
    <t>Abana shower small</t>
  </si>
  <si>
    <t xml:space="preserve">Gluta white Lotion large </t>
  </si>
  <si>
    <t>Gluta white Lotion small</t>
  </si>
  <si>
    <t xml:space="preserve">Gluta white shower </t>
  </si>
  <si>
    <t xml:space="preserve">Zoe Lotion small </t>
  </si>
  <si>
    <t xml:space="preserve">Irish gold  Lotion </t>
  </si>
  <si>
    <t>Diva Lotion large</t>
  </si>
  <si>
    <t xml:space="preserve">Diva Lotion small </t>
  </si>
  <si>
    <t xml:space="preserve">Baby boy shower </t>
  </si>
  <si>
    <t>White up</t>
  </si>
  <si>
    <t xml:space="preserve">Nature magic Lotion </t>
  </si>
  <si>
    <t xml:space="preserve">Gold olive Lotion </t>
  </si>
  <si>
    <t xml:space="preserve">Bronze tone Lotion large </t>
  </si>
  <si>
    <t xml:space="preserve">Bronze tone Lotion medium </t>
  </si>
  <si>
    <t xml:space="preserve">Bronze tone Lotion small </t>
  </si>
  <si>
    <t xml:space="preserve">Vevo Lotion large </t>
  </si>
  <si>
    <t xml:space="preserve">Vevo Lotion small </t>
  </si>
  <si>
    <t xml:space="preserve">Vevo shower </t>
  </si>
  <si>
    <t xml:space="preserve">Bravia lotion large </t>
  </si>
  <si>
    <t xml:space="preserve">Bravia lotion small </t>
  </si>
  <si>
    <t xml:space="preserve">Bravia shower large </t>
  </si>
  <si>
    <t xml:space="preserve">Bravia shower small </t>
  </si>
  <si>
    <t xml:space="preserve">Age Balance lotion </t>
  </si>
  <si>
    <t xml:space="preserve">Skin Magnet Lotion </t>
  </si>
  <si>
    <t xml:space="preserve">Bella Lotion large </t>
  </si>
  <si>
    <t xml:space="preserve">Bella Lotion small </t>
  </si>
  <si>
    <t xml:space="preserve">Eversheen Lotion Large </t>
  </si>
  <si>
    <t xml:space="preserve">Eversheen Lotion medium </t>
  </si>
  <si>
    <t xml:space="preserve">Eversheen Lotion small </t>
  </si>
  <si>
    <t xml:space="preserve">Eversheen Cream large </t>
  </si>
  <si>
    <t xml:space="preserve">Eversheen Cream small </t>
  </si>
  <si>
    <t xml:space="preserve">Nature Secret Lotion large </t>
  </si>
  <si>
    <t xml:space="preserve">Nature Secret Lotion small </t>
  </si>
  <si>
    <t xml:space="preserve">Carotone Cream large </t>
  </si>
  <si>
    <t xml:space="preserve">Carotone Cream small </t>
  </si>
  <si>
    <t xml:space="preserve">Carotone shower </t>
  </si>
  <si>
    <t xml:space="preserve">Carowhite Lotion  large </t>
  </si>
  <si>
    <t xml:space="preserve">Carowhite Lotion medium </t>
  </si>
  <si>
    <t xml:space="preserve">Carowhite Lotion small </t>
  </si>
  <si>
    <t xml:space="preserve">Carowhite shower large </t>
  </si>
  <si>
    <t xml:space="preserve">Carowhite shower small </t>
  </si>
  <si>
    <t>Queen Elizabeth Lotion large</t>
  </si>
  <si>
    <t xml:space="preserve">Queen Elizabeth Lotion medium </t>
  </si>
  <si>
    <t xml:space="preserve">Queen Elizabeth Lotion small </t>
  </si>
  <si>
    <t xml:space="preserve">Queen Elizabeth cream large </t>
  </si>
  <si>
    <t xml:space="preserve">Queen Elizabeth cream medium </t>
  </si>
  <si>
    <t xml:space="preserve">Queen Elizabeth cream small </t>
  </si>
  <si>
    <t>Tendrena Lotion large</t>
  </si>
  <si>
    <t xml:space="preserve">Tendrena Lotion medium </t>
  </si>
  <si>
    <t xml:space="preserve">Tendrena Lotion small </t>
  </si>
  <si>
    <t xml:space="preserve">Tendrena Cream large </t>
  </si>
  <si>
    <t xml:space="preserve">Tendrena Cream small </t>
  </si>
  <si>
    <t xml:space="preserve">Clear liss lotion large </t>
  </si>
  <si>
    <t xml:space="preserve">Clear liss lotion medium </t>
  </si>
  <si>
    <t xml:space="preserve">Clear liss lotion small </t>
  </si>
  <si>
    <t xml:space="preserve">Clear liss cream large </t>
  </si>
  <si>
    <t xml:space="preserve">Clear liss cream medium </t>
  </si>
  <si>
    <t xml:space="preserve">Clear liss cream  small </t>
  </si>
  <si>
    <t xml:space="preserve">Cocoa care  Lotion large </t>
  </si>
  <si>
    <t xml:space="preserve">Cocoa care  Lotion small </t>
  </si>
  <si>
    <t>Cocoa Expert lotion large</t>
  </si>
  <si>
    <t xml:space="preserve">Cocoa Expert lotion small </t>
  </si>
  <si>
    <t xml:space="preserve">Active man lotion </t>
  </si>
  <si>
    <t xml:space="preserve">Active woman lotion </t>
  </si>
  <si>
    <t xml:space="preserve">Day by day men lotion large </t>
  </si>
  <si>
    <t xml:space="preserve">Day by day men lotion small </t>
  </si>
  <si>
    <t>VIP Lotion large</t>
  </si>
  <si>
    <t xml:space="preserve">VIP Lotion small </t>
  </si>
  <si>
    <t xml:space="preserve">Gentleman Lotion </t>
  </si>
  <si>
    <t xml:space="preserve">Style up Lotion large </t>
  </si>
  <si>
    <t xml:space="preserve">Style up Lotion small </t>
  </si>
  <si>
    <t xml:space="preserve">Luxury Cocoa Cream large </t>
  </si>
  <si>
    <t xml:space="preserve">Luxury Cocoa Cream small </t>
  </si>
  <si>
    <t xml:space="preserve">Soopure shower </t>
  </si>
  <si>
    <t xml:space="preserve">Camel Antiseptic Large </t>
  </si>
  <si>
    <t xml:space="preserve">Camel Antiseptic medium </t>
  </si>
  <si>
    <t xml:space="preserve">Camel Antiseptic small </t>
  </si>
  <si>
    <t>Camel soap</t>
  </si>
  <si>
    <t xml:space="preserve">Cassons baby oil large </t>
  </si>
  <si>
    <t xml:space="preserve">Cassons baby oil small </t>
  </si>
  <si>
    <t xml:space="preserve">Baby boy &amp; girl oil </t>
  </si>
  <si>
    <t>Baby boy &amp; girl set</t>
  </si>
  <si>
    <t xml:space="preserve">Medisoft mosquito repellent </t>
  </si>
  <si>
    <t>Medisoft Soap</t>
  </si>
  <si>
    <t xml:space="preserve">Skinlight Cream large </t>
  </si>
  <si>
    <t xml:space="preserve">Skinlight Cream small </t>
  </si>
  <si>
    <t xml:space="preserve">Skinlight Cocoa Cream large </t>
  </si>
  <si>
    <t xml:space="preserve">Skinlight Cocoa Cream small </t>
  </si>
  <si>
    <t xml:space="preserve">First Lady cream large </t>
  </si>
  <si>
    <t xml:space="preserve">First Lady cream medium </t>
  </si>
  <si>
    <t xml:space="preserve">Fist Lady cream small </t>
  </si>
  <si>
    <t xml:space="preserve">Derma Skin cream large </t>
  </si>
  <si>
    <t xml:space="preserve">Derma Skin cream small </t>
  </si>
  <si>
    <t xml:space="preserve">Derma Skin lotion small </t>
  </si>
  <si>
    <t xml:space="preserve">ABC Relaxer large </t>
  </si>
  <si>
    <t>ABC Relaxer medium</t>
  </si>
  <si>
    <t>ABC Relaxer small</t>
  </si>
  <si>
    <t xml:space="preserve">UB Relaxer large </t>
  </si>
  <si>
    <t xml:space="preserve">UB Relaxer medium </t>
  </si>
  <si>
    <t xml:space="preserve">UB Relaxer quarter </t>
  </si>
  <si>
    <t>UB Relaxer small</t>
  </si>
  <si>
    <t xml:space="preserve">BO16 relaxer large </t>
  </si>
  <si>
    <t xml:space="preserve">BO16 relaxer medium </t>
  </si>
  <si>
    <t xml:space="preserve">BO16 relaxer quarter </t>
  </si>
  <si>
    <t xml:space="preserve">BO16 relaxer small </t>
  </si>
  <si>
    <t xml:space="preserve">Optimal relaxer large </t>
  </si>
  <si>
    <t xml:space="preserve">Optimal relaxer medium </t>
  </si>
  <si>
    <t xml:space="preserve">Optimal relaxer quarter </t>
  </si>
  <si>
    <t xml:space="preserve">Optimal relaxer small </t>
  </si>
  <si>
    <t xml:space="preserve">Easy waves relaxer large </t>
  </si>
  <si>
    <t xml:space="preserve">Easy waves relaxer medium </t>
  </si>
  <si>
    <t xml:space="preserve">Easy waves relaxer small </t>
  </si>
  <si>
    <t xml:space="preserve">7/17 kids relaxer medium </t>
  </si>
  <si>
    <t xml:space="preserve">7/17 kids relaxer small </t>
  </si>
  <si>
    <t xml:space="preserve">Brooklyn gel large </t>
  </si>
  <si>
    <t xml:space="preserve">Brooklyn gel medium </t>
  </si>
  <si>
    <t xml:space="preserve">Brooklyn gel small </t>
  </si>
  <si>
    <t xml:space="preserve">Mass gel large </t>
  </si>
  <si>
    <t xml:space="preserve">Mass gel medium </t>
  </si>
  <si>
    <t xml:space="preserve">Mass gel small </t>
  </si>
  <si>
    <t xml:space="preserve">Eco gel medium </t>
  </si>
  <si>
    <t xml:space="preserve">Eco gel small </t>
  </si>
  <si>
    <t>Mega relaxer</t>
  </si>
  <si>
    <t xml:space="preserve">UB Sheet relaxer </t>
  </si>
  <si>
    <t xml:space="preserve">Shea butter sheet relaxer </t>
  </si>
  <si>
    <t xml:space="preserve">So straight gel medium </t>
  </si>
  <si>
    <t xml:space="preserve">So straight gel small </t>
  </si>
  <si>
    <t xml:space="preserve">Cure activator medium </t>
  </si>
  <si>
    <t xml:space="preserve">Cure activator small </t>
  </si>
  <si>
    <t xml:space="preserve">Princess powder large </t>
  </si>
  <si>
    <t xml:space="preserve">Stay Powder large </t>
  </si>
  <si>
    <t xml:space="preserve">Stay powder Small </t>
  </si>
  <si>
    <t>Paradise powder small</t>
  </si>
  <si>
    <t xml:space="preserve">Sister powder large </t>
  </si>
  <si>
    <t>Sister powder medium</t>
  </si>
  <si>
    <t>Passion powder medium</t>
  </si>
  <si>
    <t xml:space="preserve">Passion powder Quarter </t>
  </si>
  <si>
    <t xml:space="preserve">Passion powder Small </t>
  </si>
  <si>
    <t xml:space="preserve">Top Country powder large </t>
  </si>
  <si>
    <t>Baby boy &amp; girl powder</t>
  </si>
  <si>
    <t>Skin Clinique powder</t>
  </si>
  <si>
    <t>Silver line cream Large</t>
  </si>
  <si>
    <t xml:space="preserve">Silver line cream medium </t>
  </si>
  <si>
    <t xml:space="preserve">Silver line cream small </t>
  </si>
  <si>
    <t xml:space="preserve">Silver line lotion </t>
  </si>
  <si>
    <t>Sister Cream large</t>
  </si>
  <si>
    <t xml:space="preserve">Sister Cream medium </t>
  </si>
  <si>
    <t xml:space="preserve">Sister cream Small </t>
  </si>
  <si>
    <t xml:space="preserve">Babe &amp; mama Cream large </t>
  </si>
  <si>
    <t xml:space="preserve">Babe &amp; mama Cream medium </t>
  </si>
  <si>
    <t xml:space="preserve">Babe &amp; mama Cream small </t>
  </si>
  <si>
    <t>Vaseline Cream large</t>
  </si>
  <si>
    <t xml:space="preserve">Vaseline Cream medium </t>
  </si>
  <si>
    <t>Vaseline Cream small</t>
  </si>
  <si>
    <t xml:space="preserve">Day by day cream large </t>
  </si>
  <si>
    <t xml:space="preserve">Day by day cream medium </t>
  </si>
  <si>
    <t xml:space="preserve">Day by day cream mini </t>
  </si>
  <si>
    <t xml:space="preserve">Day by day cream small </t>
  </si>
  <si>
    <t xml:space="preserve">Cocoa paa cream large </t>
  </si>
  <si>
    <t xml:space="preserve">Cocoa paa cream medium </t>
  </si>
  <si>
    <t xml:space="preserve">Cocoa paa cream small </t>
  </si>
  <si>
    <t>Cocoa paa alovera large</t>
  </si>
  <si>
    <t>Pharmaderm</t>
  </si>
  <si>
    <t xml:space="preserve">Lekins cream Small </t>
  </si>
  <si>
    <t xml:space="preserve">Mino Cream medium </t>
  </si>
  <si>
    <t xml:space="preserve">Mino Cream small </t>
  </si>
  <si>
    <t xml:space="preserve">Sivoderm cream </t>
  </si>
  <si>
    <t xml:space="preserve">Sivoderm powder </t>
  </si>
  <si>
    <t>Get me Cream</t>
  </si>
  <si>
    <t xml:space="preserve">Black magic </t>
  </si>
  <si>
    <t xml:space="preserve">Vital hair small </t>
  </si>
  <si>
    <t>Raster cool</t>
  </si>
  <si>
    <t xml:space="preserve">Fix hemp Large </t>
  </si>
  <si>
    <t xml:space="preserve">Fix hemp small </t>
  </si>
  <si>
    <t xml:space="preserve">Chapter 2000 large </t>
  </si>
  <si>
    <t xml:space="preserve">Chapter 2000 medium </t>
  </si>
  <si>
    <t>Chapter 2000 small</t>
  </si>
  <si>
    <t xml:space="preserve">Classic hair large </t>
  </si>
  <si>
    <t xml:space="preserve">Classic hair small </t>
  </si>
  <si>
    <t xml:space="preserve">Apple hair large </t>
  </si>
  <si>
    <t xml:space="preserve">Apple hair small </t>
  </si>
  <si>
    <t xml:space="preserve">Chapter 2000 hair food medium </t>
  </si>
  <si>
    <t xml:space="preserve">Chapter 2000 hair food small </t>
  </si>
  <si>
    <t>Easy waves hair cream large</t>
  </si>
  <si>
    <t>Easy waves hair cream medium</t>
  </si>
  <si>
    <t xml:space="preserve">Super waves cream </t>
  </si>
  <si>
    <t>Style Up hair cream</t>
  </si>
  <si>
    <t xml:space="preserve">Air cream large </t>
  </si>
  <si>
    <t xml:space="preserve">Air cream small </t>
  </si>
  <si>
    <t xml:space="preserve">Chang chang hair cream </t>
  </si>
  <si>
    <t xml:space="preserve">Get me lotion </t>
  </si>
  <si>
    <t xml:space="preserve">Azzura line spray large </t>
  </si>
  <si>
    <t xml:space="preserve">Olive oil hair spray large </t>
  </si>
  <si>
    <t>Olive oil Shampoo</t>
  </si>
  <si>
    <t>Olive oil Conditionner</t>
  </si>
  <si>
    <t>Ruty Coconut oil</t>
  </si>
  <si>
    <t>Wig Shine Spray</t>
  </si>
  <si>
    <t xml:space="preserve">Malizia hair spray </t>
  </si>
  <si>
    <t xml:space="preserve">Benny’s Rubbing alcohol </t>
  </si>
  <si>
    <t xml:space="preserve">Got 2b glue large </t>
  </si>
  <si>
    <t xml:space="preserve">Got 2b glue medium </t>
  </si>
  <si>
    <t xml:space="preserve">Got 2b glue small </t>
  </si>
  <si>
    <t xml:space="preserve">Shea butter mousse </t>
  </si>
  <si>
    <t>Shine &amp; Jann mousse</t>
  </si>
  <si>
    <t xml:space="preserve">Era diffuser large </t>
  </si>
  <si>
    <t xml:space="preserve">Era diffuser small </t>
  </si>
  <si>
    <t>DAL Fresh</t>
  </si>
  <si>
    <t>DAL premium</t>
  </si>
  <si>
    <t>VC facial mask</t>
  </si>
  <si>
    <t>Seomou facial mask</t>
  </si>
  <si>
    <t>VC Eye mask</t>
  </si>
  <si>
    <t>Kirkland minoxidil</t>
  </si>
  <si>
    <t>Barber's Pencil</t>
  </si>
  <si>
    <t>Shaving Stick</t>
  </si>
  <si>
    <t xml:space="preserve">Dr. Minner’s oil large </t>
  </si>
  <si>
    <t>Extra Strong Pealing oil</t>
  </si>
  <si>
    <t>Pigment concenter</t>
  </si>
  <si>
    <t>Luodais hair Care</t>
  </si>
  <si>
    <t>Rushun VC Serum</t>
  </si>
  <si>
    <t>Recovery oil</t>
  </si>
  <si>
    <t xml:space="preserve">Dr Rashel face scrub </t>
  </si>
  <si>
    <t xml:space="preserve">BO16 hair mist medium </t>
  </si>
  <si>
    <t xml:space="preserve">Acne control gel small </t>
  </si>
  <si>
    <t>IKT wax</t>
  </si>
  <si>
    <t>Feminine vaginal wash</t>
  </si>
  <si>
    <t>Effimax Cleanser</t>
  </si>
  <si>
    <t>Effimax concenter</t>
  </si>
  <si>
    <t>Derma roller</t>
  </si>
  <si>
    <t xml:space="preserve">Kiwi polish Medium </t>
  </si>
  <si>
    <t xml:space="preserve">Kiwi polish small </t>
  </si>
  <si>
    <t>Mr bond glue large</t>
  </si>
  <si>
    <t xml:space="preserve">Mr. bond glue small </t>
  </si>
  <si>
    <t>Neck pad</t>
  </si>
  <si>
    <t>Dorco blade</t>
  </si>
  <si>
    <t>Placentyne</t>
  </si>
  <si>
    <t>Noor hair removal</t>
  </si>
  <si>
    <t xml:space="preserve">Florida water Medium </t>
  </si>
  <si>
    <t>Rubb inhaler</t>
  </si>
  <si>
    <t>Mercy Soap</t>
  </si>
  <si>
    <t>Kojic Soap</t>
  </si>
  <si>
    <t>Chocho herbal Soap</t>
  </si>
  <si>
    <t>Kojisan Soap</t>
  </si>
  <si>
    <t>Nano soap</t>
  </si>
  <si>
    <t xml:space="preserve">Tumeric soap large </t>
  </si>
  <si>
    <t>Swiss</t>
  </si>
  <si>
    <t>Borgis oil</t>
  </si>
  <si>
    <t>Joy ointment large</t>
  </si>
  <si>
    <t>Joy ointment small</t>
  </si>
  <si>
    <t xml:space="preserve">Stay young cream large </t>
  </si>
  <si>
    <t xml:space="preserve">Stay young cream medium </t>
  </si>
  <si>
    <t xml:space="preserve">Stay young cream small </t>
  </si>
  <si>
    <t xml:space="preserve">Stay Young Lotion </t>
  </si>
  <si>
    <t xml:space="preserve">Mercy cream large </t>
  </si>
  <si>
    <t xml:space="preserve">Mercy cream small </t>
  </si>
  <si>
    <t xml:space="preserve">Cussons Baby lotion </t>
  </si>
  <si>
    <t xml:space="preserve">Nazo cream Large </t>
  </si>
  <si>
    <t xml:space="preserve">Nazo cream small </t>
  </si>
  <si>
    <t>Pigment facial cream</t>
  </si>
  <si>
    <t xml:space="preserve">Touch &amp; go </t>
  </si>
  <si>
    <t xml:space="preserve">V/22 cream large </t>
  </si>
  <si>
    <t xml:space="preserve">V/22 cream medium </t>
  </si>
  <si>
    <t>V/22 cream small</t>
  </si>
  <si>
    <t>Family Boa cream</t>
  </si>
  <si>
    <t xml:space="preserve">Chocho cream </t>
  </si>
  <si>
    <t xml:space="preserve">Obaatanpa ointment </t>
  </si>
  <si>
    <t>Maame Dagoma</t>
  </si>
  <si>
    <t>MPL Castor oll</t>
  </si>
  <si>
    <t>V22 facial cream</t>
  </si>
  <si>
    <t>Blue diamond air</t>
  </si>
  <si>
    <t>Heaven Naphthalene ball</t>
  </si>
  <si>
    <t xml:space="preserve">Butterfly air </t>
  </si>
  <si>
    <t>Touch perfume</t>
  </si>
  <si>
    <t xml:space="preserve">9 secret herb large </t>
  </si>
  <si>
    <t xml:space="preserve">9 secret herb small </t>
  </si>
  <si>
    <t xml:space="preserve">Siloam pool hair oil </t>
  </si>
  <si>
    <t xml:space="preserve">Jeba hair cream large </t>
  </si>
  <si>
    <t xml:space="preserve">Jeba hair cream small </t>
  </si>
  <si>
    <t>Jeba hair duodorizer</t>
  </si>
  <si>
    <t>Comfort after wash</t>
  </si>
  <si>
    <t>Royal after wash</t>
  </si>
  <si>
    <t xml:space="preserve">Brand Naphthalene </t>
  </si>
  <si>
    <t>Nano Soap</t>
  </si>
  <si>
    <t>Pera wipe</t>
  </si>
  <si>
    <t xml:space="preserve">V-Star large </t>
  </si>
  <si>
    <t>NNP wipe</t>
  </si>
  <si>
    <t>soft care wipe 60ps</t>
  </si>
  <si>
    <t>Soft Care wipe 40ps</t>
  </si>
  <si>
    <t>Cussons wipe 80ps</t>
  </si>
  <si>
    <t>Santess wipe 100ps</t>
  </si>
  <si>
    <t>Bumble wipe 120ps</t>
  </si>
  <si>
    <t>Bumble wipe 100ps</t>
  </si>
  <si>
    <t>Bumble wipe 60ps</t>
  </si>
  <si>
    <t>Bumble wipe 15pcs</t>
  </si>
  <si>
    <t xml:space="preserve">Geisha Soap </t>
  </si>
  <si>
    <t>Power plus Soap</t>
  </si>
  <si>
    <t>Johnson soap</t>
  </si>
  <si>
    <t>Santex soap</t>
  </si>
  <si>
    <t>Imperial leather</t>
  </si>
  <si>
    <t>Cusson’s Soap</t>
  </si>
  <si>
    <t>Santess wipe 60ps</t>
  </si>
  <si>
    <t>Subaru</t>
  </si>
  <si>
    <t>Sponge bag</t>
  </si>
  <si>
    <t>Bine 20</t>
  </si>
  <si>
    <t>Fatala large</t>
  </si>
  <si>
    <t xml:space="preserve">Fatala medium </t>
  </si>
  <si>
    <t>Fatala small</t>
  </si>
  <si>
    <t>Heaven insecticide large</t>
  </si>
  <si>
    <t xml:space="preserve">Heaven insecticide medium </t>
  </si>
  <si>
    <t xml:space="preserve">Heaven insecticide small </t>
  </si>
  <si>
    <t xml:space="preserve">Kill it insecticide medium </t>
  </si>
  <si>
    <t xml:space="preserve">Kill it insecticide small </t>
  </si>
  <si>
    <t>Out insecticide large</t>
  </si>
  <si>
    <t xml:space="preserve">Out insecticide small </t>
  </si>
  <si>
    <t xml:space="preserve">Sasso insecticide large </t>
  </si>
  <si>
    <t xml:space="preserve">Sasso insecticide small </t>
  </si>
  <si>
    <t xml:space="preserve">Madar hand soap medium </t>
  </si>
  <si>
    <t xml:space="preserve">Madar hand soap small </t>
  </si>
  <si>
    <t xml:space="preserve">Corm with pin large </t>
  </si>
  <si>
    <t xml:space="preserve">Corm with pin small </t>
  </si>
  <si>
    <t>Hand Sanitizer</t>
  </si>
  <si>
    <t xml:space="preserve">Carotone facial </t>
  </si>
  <si>
    <t xml:space="preserve">Citro clear facial </t>
  </si>
  <si>
    <t>DES facial</t>
  </si>
  <si>
    <t xml:space="preserve">Elixerlight facial </t>
  </si>
  <si>
    <t xml:space="preserve">Pawpaw facial </t>
  </si>
  <si>
    <t xml:space="preserve">Nature secret facial large </t>
  </si>
  <si>
    <t xml:space="preserve">Nature secret facial small </t>
  </si>
  <si>
    <t>Bravia facial</t>
  </si>
  <si>
    <t>Abana facial</t>
  </si>
  <si>
    <t>Perfect glow facial</t>
  </si>
  <si>
    <t>Clinic clear oil</t>
  </si>
  <si>
    <t>Elixerlight oil</t>
  </si>
  <si>
    <t>DES oil</t>
  </si>
  <si>
    <t>Cocoderm oil</t>
  </si>
  <si>
    <t xml:space="preserve">Carowhite oil </t>
  </si>
  <si>
    <t>Pawpaw oil</t>
  </si>
  <si>
    <t>Effimax oil</t>
  </si>
  <si>
    <t xml:space="preserve">White Secret oil </t>
  </si>
  <si>
    <t>Perfect glow oil</t>
  </si>
  <si>
    <t>Carotone oil</t>
  </si>
  <si>
    <t xml:space="preserve">Papaya facial </t>
  </si>
  <si>
    <t>Gluta white facial</t>
  </si>
  <si>
    <t>BIO 45 facial</t>
  </si>
  <si>
    <t>Lemon Clear Serum</t>
  </si>
  <si>
    <t>Light Up Serum</t>
  </si>
  <si>
    <t>BB Clear oil</t>
  </si>
  <si>
    <t>BB Clear Serum</t>
  </si>
  <si>
    <t>BB Clear facial</t>
  </si>
  <si>
    <t xml:space="preserve">Tiato Serum </t>
  </si>
  <si>
    <t>Funbact-TG</t>
  </si>
  <si>
    <t>Betasol oil</t>
  </si>
  <si>
    <t>Abyderm</t>
  </si>
  <si>
    <t>Movate</t>
  </si>
  <si>
    <t>Kongo Ointement</t>
  </si>
  <si>
    <t xml:space="preserve">Epiderm large </t>
  </si>
  <si>
    <t xml:space="preserve"> Epiderm small </t>
  </si>
  <si>
    <t>Acne Clear</t>
  </si>
  <si>
    <t xml:space="preserve">Naomi tube </t>
  </si>
  <si>
    <t>Mercy tube</t>
  </si>
  <si>
    <t>Chocho tube</t>
  </si>
  <si>
    <t>Fashion fair</t>
  </si>
  <si>
    <t xml:space="preserve">Robert gel large </t>
  </si>
  <si>
    <t xml:space="preserve">Robert gel small </t>
  </si>
  <si>
    <t>Need sure</t>
  </si>
  <si>
    <t>Abana oil</t>
  </si>
  <si>
    <t>Aboniki balm</t>
  </si>
  <si>
    <t xml:space="preserve">Gluta white oil </t>
  </si>
  <si>
    <t xml:space="preserve">Bell’s olive oil large </t>
  </si>
  <si>
    <t xml:space="preserve">Bell’s olive oil medium </t>
  </si>
  <si>
    <t xml:space="preserve">Bell’s olive oil small </t>
  </si>
  <si>
    <t>Era-spray</t>
  </si>
  <si>
    <t>Fabric Refresher</t>
  </si>
  <si>
    <t>Baby’s comb</t>
  </si>
  <si>
    <t>Scrubbing brush large</t>
  </si>
  <si>
    <t xml:space="preserve">Scrubbing brush small </t>
  </si>
  <si>
    <t>Rubber brush</t>
  </si>
  <si>
    <t xml:space="preserve">wood brush </t>
  </si>
  <si>
    <t xml:space="preserve">Clinic Clear Lotion large </t>
  </si>
  <si>
    <t xml:space="preserve">Clinic Clear Lotion small </t>
  </si>
  <si>
    <t xml:space="preserve">Clinic Clear Cocoa large </t>
  </si>
  <si>
    <t xml:space="preserve">Clinic Clear Cocoa small </t>
  </si>
  <si>
    <t xml:space="preserve">Wig brush </t>
  </si>
  <si>
    <t>Gabri wax</t>
  </si>
  <si>
    <t xml:space="preserve">Sens spray </t>
  </si>
  <si>
    <t xml:space="preserve">VIP spray </t>
  </si>
  <si>
    <t xml:space="preserve">Miss Spray small </t>
  </si>
  <si>
    <t xml:space="preserve">Style up Spray small </t>
  </si>
  <si>
    <t>Terori spray small</t>
  </si>
  <si>
    <t xml:space="preserve">Chairman spray large </t>
  </si>
  <si>
    <t xml:space="preserve">charman spray small </t>
  </si>
  <si>
    <t xml:space="preserve">Incidence spray small </t>
  </si>
  <si>
    <t xml:space="preserve">You’re mine spray </t>
  </si>
  <si>
    <t xml:space="preserve">Perfect Line spray </t>
  </si>
  <si>
    <t>Captive splash</t>
  </si>
  <si>
    <t>Storm duo</t>
  </si>
  <si>
    <t>Aluin D'or duo</t>
  </si>
  <si>
    <t xml:space="preserve">Dagmar spray large </t>
  </si>
  <si>
    <t xml:space="preserve">Dagmar spray small </t>
  </si>
  <si>
    <t xml:space="preserve">Deal </t>
  </si>
  <si>
    <t>Aventous Perfume large</t>
  </si>
  <si>
    <t xml:space="preserve">Aventous Perfume small </t>
  </si>
  <si>
    <t xml:space="preserve">Ophylia perfume large </t>
  </si>
  <si>
    <t xml:space="preserve">Ophylia perfume small </t>
  </si>
  <si>
    <t xml:space="preserve">Berries perfume large </t>
  </si>
  <si>
    <t xml:space="preserve">Berries perfume medium </t>
  </si>
  <si>
    <t xml:space="preserve">Berries perfume small </t>
  </si>
  <si>
    <t xml:space="preserve">Berries splash large </t>
  </si>
  <si>
    <t xml:space="preserve">Berries splash small </t>
  </si>
  <si>
    <t xml:space="preserve">Berries duo large </t>
  </si>
  <si>
    <t xml:space="preserve">Berries duo small </t>
  </si>
  <si>
    <t xml:space="preserve">Hayaati duo </t>
  </si>
  <si>
    <t xml:space="preserve">XX perfume </t>
  </si>
  <si>
    <t>Mousuf duo</t>
  </si>
  <si>
    <t xml:space="preserve">baby Love perfume </t>
  </si>
  <si>
    <t xml:space="preserve">Rich man perfume large </t>
  </si>
  <si>
    <t xml:space="preserve">Rich man perfume small </t>
  </si>
  <si>
    <t>Kaly perfume</t>
  </si>
  <si>
    <t xml:space="preserve">Incidence Perfume large </t>
  </si>
  <si>
    <t>Writer Perfume large</t>
  </si>
  <si>
    <t xml:space="preserve">Writer Perfume small </t>
  </si>
  <si>
    <t xml:space="preserve">Oud madness </t>
  </si>
  <si>
    <t xml:space="preserve">Matelot bag </t>
  </si>
  <si>
    <t xml:space="preserve">Matelot perfume </t>
  </si>
  <si>
    <t xml:space="preserve">Barakat perfume large </t>
  </si>
  <si>
    <t xml:space="preserve">Barakat perfume small </t>
  </si>
  <si>
    <t xml:space="preserve">Barakat duo </t>
  </si>
  <si>
    <t xml:space="preserve">Suspenso perfume large </t>
  </si>
  <si>
    <t xml:space="preserve">Suspenso perfume small </t>
  </si>
  <si>
    <t xml:space="preserve">Suspenso duo </t>
  </si>
  <si>
    <t xml:space="preserve">Suave perfume large </t>
  </si>
  <si>
    <t xml:space="preserve">Suave perfume small </t>
  </si>
  <si>
    <t>Suave duo</t>
  </si>
  <si>
    <t>Yara duo</t>
  </si>
  <si>
    <t xml:space="preserve">Hot ice duo </t>
  </si>
  <si>
    <t>Suger duo</t>
  </si>
  <si>
    <t xml:space="preserve">Element perfume large </t>
  </si>
  <si>
    <t xml:space="preserve">Element perfume small </t>
  </si>
  <si>
    <t>Victoria world Set</t>
  </si>
  <si>
    <t>Love me fresh splash</t>
  </si>
  <si>
    <t xml:space="preserve">Midnight perfume </t>
  </si>
  <si>
    <t xml:space="preserve">MJ Code perfume </t>
  </si>
  <si>
    <t xml:space="preserve">24K perfume medium </t>
  </si>
  <si>
    <t>New York perfume</t>
  </si>
  <si>
    <t xml:space="preserve">Just perfume large </t>
  </si>
  <si>
    <t xml:space="preserve">Me &amp; She perfume </t>
  </si>
  <si>
    <t xml:space="preserve">Neso spray </t>
  </si>
  <si>
    <t xml:space="preserve">Elope spray </t>
  </si>
  <si>
    <t>Doobai</t>
  </si>
  <si>
    <t>AXE duo</t>
  </si>
  <si>
    <t xml:space="preserve">Malice spray </t>
  </si>
  <si>
    <t>Deal Tin</t>
  </si>
  <si>
    <t xml:space="preserve">Body philosophy small </t>
  </si>
  <si>
    <t>Vanila Crush</t>
  </si>
  <si>
    <t xml:space="preserve">Ammarat Splash </t>
  </si>
  <si>
    <t xml:space="preserve">Fly away splash </t>
  </si>
  <si>
    <t xml:space="preserve">Body philosophy large </t>
  </si>
  <si>
    <t xml:space="preserve">Monogotash Splash large </t>
  </si>
  <si>
    <t>Monogotash Splash small</t>
  </si>
  <si>
    <t xml:space="preserve">Nivea roll on </t>
  </si>
  <si>
    <t xml:space="preserve">Connet roll on </t>
  </si>
  <si>
    <t xml:space="preserve">Sweetheart roll on large </t>
  </si>
  <si>
    <t xml:space="preserve">Sweetheart roll on small </t>
  </si>
  <si>
    <t>Betres Splash</t>
  </si>
  <si>
    <t xml:space="preserve">Matelot roll on </t>
  </si>
  <si>
    <t>Cosmo roll on</t>
  </si>
  <si>
    <t xml:space="preserve">Dove roll on </t>
  </si>
  <si>
    <t xml:space="preserve">Power house roll on </t>
  </si>
  <si>
    <t>Sport roll on</t>
  </si>
  <si>
    <t xml:space="preserve">Top Country roll on large </t>
  </si>
  <si>
    <t xml:space="preserve">Top Country roll on medium </t>
  </si>
  <si>
    <t xml:space="preserve">Top Country roll on small </t>
  </si>
  <si>
    <t xml:space="preserve">Lavita washing powder large </t>
  </si>
  <si>
    <t>Lavita washing powder small</t>
  </si>
  <si>
    <t>Delivery pad</t>
  </si>
  <si>
    <t>Xiaowawa Soaks</t>
  </si>
  <si>
    <t>Face towel large</t>
  </si>
  <si>
    <t xml:space="preserve">Face towel medium </t>
  </si>
  <si>
    <t xml:space="preserve">Face towel small </t>
  </si>
  <si>
    <t xml:space="preserve">Scaft handkerchief </t>
  </si>
  <si>
    <t>handkerchief</t>
  </si>
  <si>
    <t xml:space="preserve">Softcare large 40 </t>
  </si>
  <si>
    <t xml:space="preserve">Softcare Medium 42 </t>
  </si>
  <si>
    <t xml:space="preserve">Softcare  small 48 </t>
  </si>
  <si>
    <t>Napkin pin</t>
  </si>
  <si>
    <t xml:space="preserve">Pegs bukt large </t>
  </si>
  <si>
    <t xml:space="preserve">Pegs large </t>
  </si>
  <si>
    <t xml:space="preserve">Pegs Small </t>
  </si>
  <si>
    <t xml:space="preserve">Kids series </t>
  </si>
  <si>
    <t>baby sponge</t>
  </si>
  <si>
    <t xml:space="preserve">Sponge Large </t>
  </si>
  <si>
    <t xml:space="preserve">Sponge Medium </t>
  </si>
  <si>
    <t xml:space="preserve">Sponge small </t>
  </si>
  <si>
    <t>Baby Soaks 7 in 1</t>
  </si>
  <si>
    <t>Baby  Soaks 3 in 1</t>
  </si>
  <si>
    <t xml:space="preserve">Hair band </t>
  </si>
  <si>
    <t>Nose mask</t>
  </si>
  <si>
    <t>Softcare large 24</t>
  </si>
  <si>
    <t>Softcare medium 24</t>
  </si>
  <si>
    <t>Softcare small 24</t>
  </si>
  <si>
    <t>Softcare small 15</t>
  </si>
  <si>
    <t>Softcare small 105</t>
  </si>
  <si>
    <t xml:space="preserve">Cuettie Medium 24 </t>
  </si>
  <si>
    <t>Amyno Medium 24</t>
  </si>
  <si>
    <t xml:space="preserve">Baby girl dress large </t>
  </si>
  <si>
    <t xml:space="preserve">Baby girl dress small </t>
  </si>
  <si>
    <t xml:space="preserve">Baby boy dress large </t>
  </si>
  <si>
    <t>Long Net</t>
  </si>
  <si>
    <t xml:space="preserve">Bed mat large </t>
  </si>
  <si>
    <t xml:space="preserve">Bed mat Small </t>
  </si>
  <si>
    <t>Baby Bath Set</t>
  </si>
  <si>
    <t xml:space="preserve">Baby bed large </t>
  </si>
  <si>
    <t xml:space="preserve">Baby bed small </t>
  </si>
  <si>
    <t xml:space="preserve">4 in 1 baby washcloth </t>
  </si>
  <si>
    <t>2 in 1 baby washcloth</t>
  </si>
  <si>
    <t>Welcome dress</t>
  </si>
  <si>
    <t>Baby towel</t>
  </si>
  <si>
    <t xml:space="preserve"> Colt sheet </t>
  </si>
  <si>
    <t xml:space="preserve">Night wear 2 in 1 </t>
  </si>
  <si>
    <t xml:space="preserve">Night wear small </t>
  </si>
  <si>
    <t xml:space="preserve">Feeding bottle 3 in 1 </t>
  </si>
  <si>
    <t xml:space="preserve">Feeding bottle medium </t>
  </si>
  <si>
    <t xml:space="preserve">Feeding bottle small </t>
  </si>
  <si>
    <t>Baby girl shoe</t>
  </si>
  <si>
    <t xml:space="preserve">Baby boy shoe </t>
  </si>
  <si>
    <t xml:space="preserve">Delux afterwash medium </t>
  </si>
  <si>
    <t xml:space="preserve">Delux afterwash small </t>
  </si>
  <si>
    <t xml:space="preserve">Glass cleaner </t>
  </si>
  <si>
    <t xml:space="preserve">Pepsodent large </t>
  </si>
  <si>
    <t xml:space="preserve">Pepsodent small </t>
  </si>
  <si>
    <t xml:space="preserve">Pepsodent charcoal large </t>
  </si>
  <si>
    <t>Pepsodent charcoal small</t>
  </si>
  <si>
    <t>Madar Antiseptic soap</t>
  </si>
  <si>
    <t>Soaks &amp; band</t>
  </si>
  <si>
    <t xml:space="preserve">Enema bulb large </t>
  </si>
  <si>
    <t xml:space="preserve">Enema bulb medium </t>
  </si>
  <si>
    <t xml:space="preserve">Enema bulb small </t>
  </si>
  <si>
    <t xml:space="preserve">Baby boy &amp; girl shoe small </t>
  </si>
  <si>
    <t>Cotton swap large</t>
  </si>
  <si>
    <t xml:space="preserve">Cotton Swap small </t>
  </si>
  <si>
    <t>Day by day Set</t>
  </si>
  <si>
    <t xml:space="preserve">Mum love bottle </t>
  </si>
  <si>
    <t xml:space="preserve">Umbrella large </t>
  </si>
  <si>
    <t xml:space="preserve">Umbrella medium </t>
  </si>
  <si>
    <t>Umbrella small</t>
  </si>
  <si>
    <t>S Book powder</t>
  </si>
  <si>
    <t xml:space="preserve">Power zone Large </t>
  </si>
  <si>
    <t xml:space="preserve">Power zone small </t>
  </si>
  <si>
    <t xml:space="preserve">Madar Zone large </t>
  </si>
  <si>
    <t xml:space="preserve">Madar Zone small </t>
  </si>
  <si>
    <t xml:space="preserve">Fish pump small </t>
  </si>
  <si>
    <t xml:space="preserve">Only baby breast pump </t>
  </si>
  <si>
    <t>Breast pad</t>
  </si>
  <si>
    <t>Vacuum flask</t>
  </si>
  <si>
    <t>Dental floss</t>
  </si>
  <si>
    <t>Tooth Pick</t>
  </si>
  <si>
    <t>Proper sanitary pad</t>
  </si>
  <si>
    <t>Softcare pad small</t>
  </si>
  <si>
    <t>Wippy tissue Jumbo</t>
  </si>
  <si>
    <t xml:space="preserve">Wippy tissue medium </t>
  </si>
  <si>
    <t xml:space="preserve">wippy tissue small </t>
  </si>
  <si>
    <t>Net Soaks</t>
  </si>
  <si>
    <t xml:space="preserve">Alata Soap large </t>
  </si>
  <si>
    <t>Alata Soap small</t>
  </si>
  <si>
    <t>Kiki t-roll</t>
  </si>
  <si>
    <t xml:space="preserve">Basket stand </t>
  </si>
  <si>
    <t>Baby pillow small</t>
  </si>
  <si>
    <t>Comfort baby bag</t>
  </si>
  <si>
    <t>Folding bag</t>
  </si>
  <si>
    <t>Kleensoft Bucket small</t>
  </si>
  <si>
    <t xml:space="preserve">Kleensoft Bucket large </t>
  </si>
  <si>
    <t xml:space="preserve">Flora tissue </t>
  </si>
  <si>
    <t xml:space="preserve">Top county powder medium </t>
  </si>
  <si>
    <t xml:space="preserve">Top country powder small  </t>
  </si>
  <si>
    <t>fruiser Bath Large</t>
  </si>
  <si>
    <t xml:space="preserve">Gentleman shower Large </t>
  </si>
  <si>
    <t>Vaseline daily brightening large orig</t>
  </si>
  <si>
    <t xml:space="preserve">Dove Lotion </t>
  </si>
  <si>
    <t xml:space="preserve">Johnson cotton lot large </t>
  </si>
  <si>
    <t>CT+ Lotion small</t>
  </si>
  <si>
    <t>Nivea Spray  Large</t>
  </si>
  <si>
    <t>Nivea spray medium</t>
  </si>
  <si>
    <t>Nivea Spray small</t>
  </si>
  <si>
    <t>Right Guard</t>
  </si>
  <si>
    <t>Sure spray</t>
  </si>
  <si>
    <t>Soft and gentle spray</t>
  </si>
  <si>
    <t>Rexona spray</t>
  </si>
  <si>
    <t>Luxilite</t>
  </si>
  <si>
    <t>V-One spray</t>
  </si>
  <si>
    <t>Nivea men lotion</t>
  </si>
  <si>
    <t xml:space="preserve">Bio Oil medium </t>
  </si>
  <si>
    <t xml:space="preserve">Perfect white shower small </t>
  </si>
  <si>
    <t>Clairmen lotion large</t>
  </si>
  <si>
    <t xml:space="preserve">Clairmen lotion small </t>
  </si>
  <si>
    <t xml:space="preserve">Clairman shower large </t>
  </si>
  <si>
    <t xml:space="preserve">Clairmen shower small </t>
  </si>
  <si>
    <t>Clairmen lotion medium</t>
  </si>
  <si>
    <t>Soldier powder large</t>
  </si>
  <si>
    <t>soldier powder small</t>
  </si>
  <si>
    <t>Sister powder V-small</t>
  </si>
  <si>
    <t>Scissors</t>
  </si>
  <si>
    <t>Alata soap medium</t>
  </si>
  <si>
    <t>Softcare pad zip</t>
  </si>
  <si>
    <t>Yazz sanitary pad</t>
  </si>
  <si>
    <t>Santess panty liner</t>
  </si>
  <si>
    <t xml:space="preserve">Savlon antiseptic small </t>
  </si>
  <si>
    <t xml:space="preserve">Savlon antiseptic medium </t>
  </si>
  <si>
    <t>Savlon antiseptic large</t>
  </si>
  <si>
    <t>Colgate herbal small</t>
  </si>
  <si>
    <t xml:space="preserve">Colgate herbal large </t>
  </si>
  <si>
    <t>Delivery cap</t>
  </si>
  <si>
    <t>Welcome cap</t>
  </si>
  <si>
    <t xml:space="preserve">KOL Tissue small </t>
  </si>
  <si>
    <t xml:space="preserve">KOL Tissue large </t>
  </si>
  <si>
    <t>Baby boy dress Small</t>
  </si>
  <si>
    <t>Comfort Tissue</t>
  </si>
  <si>
    <t>Cutie small 15</t>
  </si>
  <si>
    <t xml:space="preserve"> Soaks 3 in 1</t>
  </si>
  <si>
    <t>Sackner</t>
  </si>
  <si>
    <t xml:space="preserve">Matador perfume </t>
  </si>
  <si>
    <t>Emergency spray</t>
  </si>
  <si>
    <t>Napkin</t>
  </si>
  <si>
    <t>Far Away Duo</t>
  </si>
  <si>
    <t>AHR roll on</t>
  </si>
  <si>
    <t>Just Perfume small</t>
  </si>
  <si>
    <t>Bady philosophy Set</t>
  </si>
  <si>
    <t>Palma rosa large</t>
  </si>
  <si>
    <t xml:space="preserve">Berries lighter </t>
  </si>
  <si>
    <t>Bondage</t>
  </si>
  <si>
    <t>For Always Set</t>
  </si>
  <si>
    <t>IKS roll on</t>
  </si>
  <si>
    <t>Clinic clear Shower</t>
  </si>
  <si>
    <t>Breeze Spray</t>
  </si>
  <si>
    <t>Belair Spray</t>
  </si>
  <si>
    <t>Sunshine air frsh</t>
  </si>
  <si>
    <t xml:space="preserve">Funbact A Small </t>
  </si>
  <si>
    <t>Lemonvate</t>
  </si>
  <si>
    <t xml:space="preserve">Curl Keeper </t>
  </si>
  <si>
    <t>Surfaz-SN</t>
  </si>
  <si>
    <t>Funbact - A large</t>
  </si>
  <si>
    <t>Diproson</t>
  </si>
  <si>
    <t>Wind air large</t>
  </si>
  <si>
    <t xml:space="preserve">GRA cream small </t>
  </si>
  <si>
    <t xml:space="preserve">GRA cream medium </t>
  </si>
  <si>
    <t>GRA Cream large</t>
  </si>
  <si>
    <t>Wild wolf</t>
  </si>
  <si>
    <t>BO16 hair mist Small</t>
  </si>
  <si>
    <t>Dissar VC Serum</t>
  </si>
  <si>
    <t>Wind air small</t>
  </si>
  <si>
    <t xml:space="preserve">Olive oil hair spray medium  </t>
  </si>
  <si>
    <t>Olive oil hair spray small</t>
  </si>
  <si>
    <t>X-Waves large</t>
  </si>
  <si>
    <t xml:space="preserve">Vital hair large </t>
  </si>
  <si>
    <t>Afro punch</t>
  </si>
  <si>
    <t xml:space="preserve">Afro Star </t>
  </si>
  <si>
    <t>Habiba Cream large</t>
  </si>
  <si>
    <t>Habiba  cream small</t>
  </si>
  <si>
    <t xml:space="preserve"> Soldier powder large</t>
  </si>
  <si>
    <t xml:space="preserve">Super  wave aircream </t>
  </si>
  <si>
    <t>Skin soft powder small</t>
  </si>
  <si>
    <t xml:space="preserve">Six flowers power small </t>
  </si>
  <si>
    <t xml:space="preserve">Six flowers power medium </t>
  </si>
  <si>
    <t>Skin soft powder large</t>
  </si>
  <si>
    <t>Adult diper</t>
  </si>
  <si>
    <t xml:space="preserve">Innocence duo </t>
  </si>
  <si>
    <t>Lengend spray</t>
  </si>
  <si>
    <t>Irish spring shower</t>
  </si>
  <si>
    <t>Brooklyn relaxer</t>
  </si>
  <si>
    <t>Olive oil  relaxer</t>
  </si>
  <si>
    <t>Dark and lovery sheet relaxer</t>
  </si>
  <si>
    <t>Derma skin lot large</t>
  </si>
  <si>
    <t xml:space="preserve">Soopure Lotion </t>
  </si>
  <si>
    <t xml:space="preserve">Queen Clear Lotion </t>
  </si>
  <si>
    <t>Queen lady cream</t>
  </si>
  <si>
    <t xml:space="preserve">Sairo Bath </t>
  </si>
  <si>
    <t>Colourant dye</t>
  </si>
  <si>
    <t xml:space="preserve">Pure skin Lotion small </t>
  </si>
  <si>
    <t xml:space="preserve">Viva white Lotion small </t>
  </si>
  <si>
    <t xml:space="preserve">Viva white Lotion large </t>
  </si>
  <si>
    <t>Johnson baby lotion small</t>
  </si>
  <si>
    <t xml:space="preserve">Johnson baby Lotion medium </t>
  </si>
  <si>
    <t xml:space="preserve">Johnson cotton Lotion </t>
  </si>
  <si>
    <t xml:space="preserve">Kleanz bath </t>
  </si>
  <si>
    <t xml:space="preserve">Perfect white lotion </t>
  </si>
  <si>
    <t>Kris lotion medium</t>
  </si>
  <si>
    <t>Yolk skin care large</t>
  </si>
  <si>
    <t>Babe and Mama quarter</t>
  </si>
  <si>
    <t>Snail white</t>
  </si>
  <si>
    <t xml:space="preserve">X-Wave cream small </t>
  </si>
  <si>
    <t>Baby wow cap</t>
  </si>
  <si>
    <t>Colour me</t>
  </si>
  <si>
    <t>Secret Amor mist</t>
  </si>
  <si>
    <t>For men splash</t>
  </si>
  <si>
    <t>VV love spray</t>
  </si>
  <si>
    <t>Gentleman spray</t>
  </si>
  <si>
    <t>Red rose</t>
  </si>
  <si>
    <t xml:space="preserve">GRA lotion </t>
  </si>
  <si>
    <t>Afro comb large</t>
  </si>
  <si>
    <t xml:space="preserve">Afro comb small </t>
  </si>
  <si>
    <t>Professional spray</t>
  </si>
  <si>
    <t>Bodman spray</t>
  </si>
  <si>
    <t>Gold skin</t>
  </si>
  <si>
    <t>Picky rose</t>
  </si>
  <si>
    <t>Berries 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</si>
</sst>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Analysis'!$A$2:$A$13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E-6A4A-B751-A562689F7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1"/>
  <sheetViews>
    <sheetView tabSelected="1" workbookViewId="0">
      <selection activeCell="E891" sqref="E891"/>
    </sheetView>
  </sheetViews>
  <sheetFormatPr defaultRowHeight="14.4" x14ac:dyDescent="0.3"/>
  <cols>
    <col min="1" max="1" width="29.5546875" bestFit="1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45</v>
      </c>
      <c r="D2">
        <v>110</v>
      </c>
      <c r="E2">
        <v>2</v>
      </c>
    </row>
    <row r="3" spans="1:7" x14ac:dyDescent="0.3">
      <c r="A3" t="s">
        <v>46</v>
      </c>
      <c r="D3">
        <v>90</v>
      </c>
      <c r="E3">
        <v>1</v>
      </c>
    </row>
    <row r="4" spans="1:7" x14ac:dyDescent="0.3">
      <c r="A4" t="s">
        <v>47</v>
      </c>
      <c r="D4">
        <v>80</v>
      </c>
      <c r="E4">
        <v>2</v>
      </c>
    </row>
    <row r="5" spans="1:7" x14ac:dyDescent="0.3">
      <c r="A5" t="s">
        <v>48</v>
      </c>
      <c r="D5">
        <v>110</v>
      </c>
      <c r="E5">
        <v>1</v>
      </c>
    </row>
    <row r="6" spans="1:7" x14ac:dyDescent="0.3">
      <c r="A6" t="s">
        <v>49</v>
      </c>
      <c r="D6">
        <v>90</v>
      </c>
      <c r="E6">
        <v>2</v>
      </c>
    </row>
    <row r="7" spans="1:7" x14ac:dyDescent="0.3">
      <c r="A7" t="s">
        <v>43</v>
      </c>
      <c r="D7">
        <v>25</v>
      </c>
      <c r="E7">
        <f>SUMIF(Purchases!B:B,#REF!,Purchases!D:D)-SUMIF(Sales!B:B,#REF!,Sales!D:D)</f>
        <v>0</v>
      </c>
    </row>
    <row r="8" spans="1:7" x14ac:dyDescent="0.3">
      <c r="A8" t="s">
        <v>50</v>
      </c>
      <c r="D8">
        <v>80</v>
      </c>
      <c r="E8">
        <v>1</v>
      </c>
    </row>
    <row r="9" spans="1:7" x14ac:dyDescent="0.3">
      <c r="A9" t="s">
        <v>51</v>
      </c>
      <c r="D9">
        <v>90</v>
      </c>
      <c r="E9">
        <v>1</v>
      </c>
    </row>
    <row r="10" spans="1:7" x14ac:dyDescent="0.3">
      <c r="A10" t="s">
        <v>52</v>
      </c>
      <c r="D10">
        <v>90</v>
      </c>
      <c r="E10">
        <v>1</v>
      </c>
    </row>
    <row r="11" spans="1:7" x14ac:dyDescent="0.3">
      <c r="A11" t="s">
        <v>53</v>
      </c>
      <c r="D11">
        <v>90</v>
      </c>
      <c r="E11">
        <v>1</v>
      </c>
    </row>
    <row r="12" spans="1:7" x14ac:dyDescent="0.3">
      <c r="A12" t="s">
        <v>54</v>
      </c>
      <c r="D12">
        <v>70</v>
      </c>
      <c r="E12">
        <v>1</v>
      </c>
    </row>
    <row r="13" spans="1:7" x14ac:dyDescent="0.3">
      <c r="A13" t="s">
        <v>55</v>
      </c>
      <c r="D13">
        <v>80</v>
      </c>
      <c r="E13">
        <v>1</v>
      </c>
    </row>
    <row r="14" spans="1:7" x14ac:dyDescent="0.3">
      <c r="A14" t="s">
        <v>801</v>
      </c>
      <c r="D14">
        <v>80</v>
      </c>
      <c r="E14">
        <v>3</v>
      </c>
    </row>
    <row r="15" spans="1:7" x14ac:dyDescent="0.3">
      <c r="A15" t="s">
        <v>56</v>
      </c>
      <c r="D15">
        <v>35</v>
      </c>
      <c r="E15">
        <v>1</v>
      </c>
    </row>
    <row r="16" spans="1:7" x14ac:dyDescent="0.3">
      <c r="A16" t="s">
        <v>57</v>
      </c>
      <c r="D16">
        <v>45</v>
      </c>
      <c r="E16">
        <v>2</v>
      </c>
    </row>
    <row r="17" spans="1:5" x14ac:dyDescent="0.3">
      <c r="A17" t="s">
        <v>802</v>
      </c>
      <c r="D17">
        <v>25</v>
      </c>
      <c r="E17">
        <v>2</v>
      </c>
    </row>
    <row r="18" spans="1:5" x14ac:dyDescent="0.3">
      <c r="A18" t="s">
        <v>44</v>
      </c>
      <c r="B18" t="s">
        <v>58</v>
      </c>
      <c r="D18">
        <v>120</v>
      </c>
      <c r="E18">
        <v>1</v>
      </c>
    </row>
    <row r="19" spans="1:5" x14ac:dyDescent="0.3">
      <c r="A19" t="s">
        <v>803</v>
      </c>
      <c r="B19" t="s">
        <v>58</v>
      </c>
      <c r="D19">
        <v>180</v>
      </c>
      <c r="E19">
        <v>1</v>
      </c>
    </row>
    <row r="20" spans="1:5" x14ac:dyDescent="0.3">
      <c r="A20" t="s">
        <v>59</v>
      </c>
      <c r="B20" t="s">
        <v>58</v>
      </c>
      <c r="D20">
        <v>150</v>
      </c>
      <c r="E20">
        <f>SUMIF(Purchases!B:B,#REF!,Purchases!D:D)-SUMIF(Sales!B:B,#REF!,Sales!D:D)</f>
        <v>0</v>
      </c>
    </row>
    <row r="21" spans="1:5" x14ac:dyDescent="0.3">
      <c r="A21" t="s">
        <v>60</v>
      </c>
      <c r="B21" t="s">
        <v>58</v>
      </c>
      <c r="D21">
        <v>65</v>
      </c>
      <c r="E21">
        <f>SUMIF(Purchases!B:B,#REF!,Purchases!D:D)-SUMIF(Sales!B:B,#REF!,Sales!D:D)</f>
        <v>0</v>
      </c>
    </row>
    <row r="22" spans="1:5" x14ac:dyDescent="0.3">
      <c r="A22" t="s">
        <v>61</v>
      </c>
      <c r="B22" t="s">
        <v>58</v>
      </c>
      <c r="D22">
        <v>45</v>
      </c>
      <c r="E22">
        <v>3</v>
      </c>
    </row>
    <row r="23" spans="1:5" x14ac:dyDescent="0.3">
      <c r="A23" t="s">
        <v>62</v>
      </c>
      <c r="B23" t="s">
        <v>58</v>
      </c>
      <c r="D23">
        <v>120</v>
      </c>
      <c r="E23">
        <v>1</v>
      </c>
    </row>
    <row r="24" spans="1:5" x14ac:dyDescent="0.3">
      <c r="A24" t="s">
        <v>63</v>
      </c>
      <c r="B24" t="s">
        <v>58</v>
      </c>
      <c r="D24">
        <v>120</v>
      </c>
      <c r="E24">
        <v>1</v>
      </c>
    </row>
    <row r="25" spans="1:5" x14ac:dyDescent="0.3">
      <c r="A25" t="s">
        <v>64</v>
      </c>
      <c r="B25" t="s">
        <v>42</v>
      </c>
      <c r="D25">
        <v>150</v>
      </c>
      <c r="E25">
        <v>1</v>
      </c>
    </row>
    <row r="26" spans="1:5" x14ac:dyDescent="0.3">
      <c r="A26" t="s">
        <v>65</v>
      </c>
      <c r="D26">
        <v>130</v>
      </c>
      <c r="E26">
        <v>2</v>
      </c>
    </row>
    <row r="27" spans="1:5" x14ac:dyDescent="0.3">
      <c r="A27" t="s">
        <v>66</v>
      </c>
      <c r="D27">
        <v>100</v>
      </c>
      <c r="E27">
        <v>2</v>
      </c>
    </row>
    <row r="28" spans="1:5" x14ac:dyDescent="0.3">
      <c r="A28" t="s">
        <v>67</v>
      </c>
      <c r="D28">
        <v>100</v>
      </c>
      <c r="E28">
        <v>1</v>
      </c>
    </row>
    <row r="29" spans="1:5" x14ac:dyDescent="0.3">
      <c r="A29" t="s">
        <v>68</v>
      </c>
      <c r="D29">
        <v>120</v>
      </c>
      <c r="E29">
        <v>1</v>
      </c>
    </row>
    <row r="30" spans="1:5" x14ac:dyDescent="0.3">
      <c r="A30" t="s">
        <v>69</v>
      </c>
      <c r="D30">
        <v>200</v>
      </c>
    </row>
    <row r="31" spans="1:5" x14ac:dyDescent="0.3">
      <c r="A31" t="s">
        <v>70</v>
      </c>
      <c r="D31">
        <v>70</v>
      </c>
      <c r="E31">
        <v>1</v>
      </c>
    </row>
    <row r="32" spans="1:5" x14ac:dyDescent="0.3">
      <c r="A32" t="s">
        <v>71</v>
      </c>
      <c r="D32">
        <v>100</v>
      </c>
      <c r="E32">
        <v>1</v>
      </c>
    </row>
    <row r="33" spans="1:5" x14ac:dyDescent="0.3">
      <c r="A33" t="s">
        <v>72</v>
      </c>
      <c r="D33">
        <v>70</v>
      </c>
      <c r="E33">
        <v>3</v>
      </c>
    </row>
    <row r="34" spans="1:5" x14ac:dyDescent="0.3">
      <c r="A34" t="s">
        <v>73</v>
      </c>
      <c r="D34">
        <v>90</v>
      </c>
      <c r="E34">
        <f>SUMIF(Purchases!B:B,#REF!,Purchases!D:D)-SUMIF(Sales!B:B,#REF!,Sales!D:D)</f>
        <v>0</v>
      </c>
    </row>
    <row r="35" spans="1:5" x14ac:dyDescent="0.3">
      <c r="A35" t="s">
        <v>74</v>
      </c>
      <c r="D35">
        <v>280</v>
      </c>
      <c r="E35">
        <f>SUMIF(Purchases!B:B,#REF!,Purchases!D:D)-SUMIF(Sales!B:B,#REF!,Sales!D:D)</f>
        <v>0</v>
      </c>
    </row>
    <row r="36" spans="1:5" x14ac:dyDescent="0.3">
      <c r="A36" t="s">
        <v>75</v>
      </c>
      <c r="D36">
        <v>300</v>
      </c>
      <c r="E36">
        <f>SUMIF(Purchases!B:B,#REF!,Purchases!D:D)-SUMIF(Sales!B:B,#REF!,Sales!D:D)</f>
        <v>0</v>
      </c>
    </row>
    <row r="37" spans="1:5" x14ac:dyDescent="0.3">
      <c r="A37" t="s">
        <v>804</v>
      </c>
      <c r="D37">
        <v>65</v>
      </c>
      <c r="E37">
        <v>2</v>
      </c>
    </row>
    <row r="38" spans="1:5" x14ac:dyDescent="0.3">
      <c r="A38" t="s">
        <v>76</v>
      </c>
      <c r="D38">
        <v>60</v>
      </c>
      <c r="E38">
        <v>2</v>
      </c>
    </row>
    <row r="39" spans="1:5" x14ac:dyDescent="0.3">
      <c r="A39" t="s">
        <v>77</v>
      </c>
      <c r="D39">
        <v>35</v>
      </c>
      <c r="E39">
        <v>2</v>
      </c>
    </row>
    <row r="40" spans="1:5" x14ac:dyDescent="0.3">
      <c r="A40" t="s">
        <v>805</v>
      </c>
      <c r="D40">
        <v>70</v>
      </c>
      <c r="E40">
        <v>1</v>
      </c>
    </row>
    <row r="41" spans="1:5" x14ac:dyDescent="0.3">
      <c r="A41" t="s">
        <v>78</v>
      </c>
      <c r="D41">
        <v>90</v>
      </c>
      <c r="E41">
        <v>1</v>
      </c>
    </row>
    <row r="42" spans="1:5" x14ac:dyDescent="0.3">
      <c r="A42" t="s">
        <v>79</v>
      </c>
      <c r="D42">
        <v>80</v>
      </c>
      <c r="E42">
        <v>1</v>
      </c>
    </row>
    <row r="43" spans="1:5" x14ac:dyDescent="0.3">
      <c r="A43" t="s">
        <v>80</v>
      </c>
      <c r="D43">
        <v>65</v>
      </c>
      <c r="E43">
        <v>2</v>
      </c>
    </row>
    <row r="44" spans="1:5" x14ac:dyDescent="0.3">
      <c r="A44" t="s">
        <v>81</v>
      </c>
      <c r="D44">
        <v>35</v>
      </c>
      <c r="E44">
        <v>3</v>
      </c>
    </row>
    <row r="45" spans="1:5" x14ac:dyDescent="0.3">
      <c r="A45" t="s">
        <v>82</v>
      </c>
      <c r="D45">
        <v>40</v>
      </c>
      <c r="E45">
        <v>2</v>
      </c>
    </row>
    <row r="46" spans="1:5" x14ac:dyDescent="0.3">
      <c r="A46" t="s">
        <v>83</v>
      </c>
      <c r="D46">
        <v>25</v>
      </c>
      <c r="E46">
        <v>4</v>
      </c>
    </row>
    <row r="47" spans="1:5" x14ac:dyDescent="0.3">
      <c r="A47" t="s">
        <v>84</v>
      </c>
      <c r="D47">
        <v>15</v>
      </c>
      <c r="E47">
        <v>2</v>
      </c>
    </row>
    <row r="48" spans="1:5" x14ac:dyDescent="0.3">
      <c r="A48" t="s">
        <v>85</v>
      </c>
      <c r="D48">
        <v>50</v>
      </c>
      <c r="E48">
        <v>1</v>
      </c>
    </row>
    <row r="49" spans="1:5" x14ac:dyDescent="0.3">
      <c r="A49" t="s">
        <v>86</v>
      </c>
      <c r="D49">
        <v>60</v>
      </c>
      <c r="E49">
        <f>SUMIF(Purchases!B:B,#REF!,Purchases!D:D)-SUMIF(Sales!B:B,#REF!,Sales!D:D)</f>
        <v>0</v>
      </c>
    </row>
    <row r="50" spans="1:5" x14ac:dyDescent="0.3">
      <c r="A50" t="s">
        <v>87</v>
      </c>
      <c r="D50">
        <v>40</v>
      </c>
      <c r="E50">
        <f>SUMIF(Purchases!B:B,#REF!,Purchases!D:D)-SUMIF(Sales!B:B,#REF!,Sales!D:D)</f>
        <v>0</v>
      </c>
    </row>
    <row r="51" spans="1:5" x14ac:dyDescent="0.3">
      <c r="A51" t="s">
        <v>806</v>
      </c>
      <c r="D51">
        <v>30</v>
      </c>
      <c r="E51">
        <v>4</v>
      </c>
    </row>
    <row r="52" spans="1:5" x14ac:dyDescent="0.3">
      <c r="A52" t="s">
        <v>88</v>
      </c>
      <c r="D52">
        <v>20</v>
      </c>
      <c r="E52">
        <v>1</v>
      </c>
    </row>
    <row r="53" spans="1:5" x14ac:dyDescent="0.3">
      <c r="A53" t="s">
        <v>89</v>
      </c>
      <c r="D53">
        <v>40</v>
      </c>
      <c r="E53">
        <v>1</v>
      </c>
    </row>
    <row r="54" spans="1:5" x14ac:dyDescent="0.3">
      <c r="A54" t="s">
        <v>90</v>
      </c>
      <c r="D54">
        <v>20</v>
      </c>
      <c r="E54">
        <v>2</v>
      </c>
    </row>
    <row r="55" spans="1:5" x14ac:dyDescent="0.3">
      <c r="A55" t="s">
        <v>91</v>
      </c>
      <c r="D55">
        <v>60</v>
      </c>
      <c r="E55">
        <v>7</v>
      </c>
    </row>
    <row r="56" spans="1:5" x14ac:dyDescent="0.3">
      <c r="A56" t="s">
        <v>92</v>
      </c>
      <c r="D56">
        <v>35</v>
      </c>
      <c r="E56">
        <v>3</v>
      </c>
    </row>
    <row r="57" spans="1:5" x14ac:dyDescent="0.3">
      <c r="A57" t="s">
        <v>93</v>
      </c>
      <c r="D57">
        <v>28</v>
      </c>
      <c r="E57">
        <v>1</v>
      </c>
    </row>
    <row r="58" spans="1:5" x14ac:dyDescent="0.3">
      <c r="A58" t="s">
        <v>94</v>
      </c>
      <c r="D58">
        <v>15</v>
      </c>
      <c r="E58">
        <f>SUMIF(Purchases!B:B,#REF!,Purchases!D:D)-SUMIF(Sales!B:B,#REF!,Sales!D:D)</f>
        <v>0</v>
      </c>
    </row>
    <row r="59" spans="1:5" x14ac:dyDescent="0.3">
      <c r="A59" t="s">
        <v>95</v>
      </c>
      <c r="D59">
        <v>12</v>
      </c>
      <c r="E59">
        <v>1</v>
      </c>
    </row>
    <row r="60" spans="1:5" x14ac:dyDescent="0.3">
      <c r="A60" t="s">
        <v>96</v>
      </c>
      <c r="D60">
        <v>80</v>
      </c>
      <c r="E60">
        <f>SUMIF(Purchases!B:B,#REF!,Purchases!D:D)-SUMIF(Sales!B:B,#REF!,Sales!D:D)</f>
        <v>0</v>
      </c>
    </row>
    <row r="61" spans="1:5" x14ac:dyDescent="0.3">
      <c r="A61" t="s">
        <v>97</v>
      </c>
      <c r="D61">
        <v>45</v>
      </c>
      <c r="E61">
        <v>1</v>
      </c>
    </row>
    <row r="62" spans="1:5" x14ac:dyDescent="0.3">
      <c r="A62" t="s">
        <v>98</v>
      </c>
      <c r="D62">
        <v>45</v>
      </c>
      <c r="E62">
        <v>2</v>
      </c>
    </row>
    <row r="63" spans="1:5" x14ac:dyDescent="0.3">
      <c r="A63" t="s">
        <v>99</v>
      </c>
      <c r="D63">
        <v>0</v>
      </c>
      <c r="E63">
        <f>SUMIF(Purchases!B:B,#REF!,Purchases!D:D)-SUMIF(Sales!B:B,#REF!,Sales!D:D)</f>
        <v>0</v>
      </c>
    </row>
    <row r="64" spans="1:5" x14ac:dyDescent="0.3">
      <c r="A64" t="s">
        <v>100</v>
      </c>
      <c r="D64">
        <v>40</v>
      </c>
      <c r="E64">
        <v>3</v>
      </c>
    </row>
    <row r="65" spans="1:5" x14ac:dyDescent="0.3">
      <c r="A65" t="s">
        <v>101</v>
      </c>
      <c r="D65">
        <v>25</v>
      </c>
      <c r="E65">
        <v>2</v>
      </c>
    </row>
    <row r="66" spans="1:5" x14ac:dyDescent="0.3">
      <c r="A66" t="s">
        <v>102</v>
      </c>
      <c r="D66">
        <v>55</v>
      </c>
      <c r="E66">
        <v>1</v>
      </c>
    </row>
    <row r="67" spans="1:5" x14ac:dyDescent="0.3">
      <c r="A67" t="s">
        <v>103</v>
      </c>
      <c r="D67">
        <v>30</v>
      </c>
      <c r="E67">
        <f>SUMIF(Purchases!B:B,#REF!,Purchases!D:D)-SUMIF(Sales!B:B,#REF!,Sales!D:D)</f>
        <v>0</v>
      </c>
    </row>
    <row r="68" spans="1:5" x14ac:dyDescent="0.3">
      <c r="A68" t="s">
        <v>104</v>
      </c>
      <c r="D68">
        <v>50</v>
      </c>
      <c r="E68">
        <f>SUMIF(Purchases!B:B,#REF!,Purchases!D:D)-SUMIF(Sales!B:B,#REF!,Sales!D:D)</f>
        <v>0</v>
      </c>
    </row>
    <row r="69" spans="1:5" x14ac:dyDescent="0.3">
      <c r="A69" t="s">
        <v>105</v>
      </c>
      <c r="D69">
        <v>27</v>
      </c>
      <c r="E69">
        <v>3</v>
      </c>
    </row>
    <row r="70" spans="1:5" x14ac:dyDescent="0.3">
      <c r="A70" t="s">
        <v>106</v>
      </c>
      <c r="D70">
        <v>50</v>
      </c>
      <c r="E70">
        <f>SUMIF(Purchases!B:B,#REF!,Purchases!D:D)-SUMIF(Sales!B:B,#REF!,Sales!D:D)</f>
        <v>0</v>
      </c>
    </row>
    <row r="71" spans="1:5" x14ac:dyDescent="0.3">
      <c r="A71" t="s">
        <v>107</v>
      </c>
      <c r="D71">
        <v>25</v>
      </c>
      <c r="E71">
        <v>2</v>
      </c>
    </row>
    <row r="72" spans="1:5" x14ac:dyDescent="0.3">
      <c r="A72" t="s">
        <v>108</v>
      </c>
      <c r="D72">
        <v>35</v>
      </c>
      <c r="E72">
        <v>2</v>
      </c>
    </row>
    <row r="73" spans="1:5" x14ac:dyDescent="0.3">
      <c r="A73" t="s">
        <v>109</v>
      </c>
      <c r="D73">
        <v>25</v>
      </c>
      <c r="E73">
        <v>3</v>
      </c>
    </row>
    <row r="74" spans="1:5" x14ac:dyDescent="0.3">
      <c r="A74" t="s">
        <v>110</v>
      </c>
      <c r="D74">
        <v>15</v>
      </c>
      <c r="E74">
        <f>SUMIF(Purchases!B:B,#REF!,Purchases!D:D)-SUMIF(Sales!B:B,#REF!,Sales!D:D)</f>
        <v>0</v>
      </c>
    </row>
    <row r="75" spans="1:5" x14ac:dyDescent="0.3">
      <c r="A75" t="s">
        <v>111</v>
      </c>
      <c r="D75">
        <v>40</v>
      </c>
      <c r="E75">
        <v>2</v>
      </c>
    </row>
    <row r="76" spans="1:5" x14ac:dyDescent="0.3">
      <c r="A76" t="s">
        <v>112</v>
      </c>
      <c r="D76">
        <v>20</v>
      </c>
      <c r="E76">
        <v>2</v>
      </c>
    </row>
    <row r="77" spans="1:5" x14ac:dyDescent="0.3">
      <c r="A77" t="s">
        <v>113</v>
      </c>
      <c r="D77">
        <v>15</v>
      </c>
      <c r="E77">
        <v>2</v>
      </c>
    </row>
    <row r="78" spans="1:5" x14ac:dyDescent="0.3">
      <c r="A78" t="s">
        <v>114</v>
      </c>
      <c r="D78">
        <v>50</v>
      </c>
      <c r="E78">
        <v>1</v>
      </c>
    </row>
    <row r="79" spans="1:5" x14ac:dyDescent="0.3">
      <c r="A79" t="s">
        <v>115</v>
      </c>
      <c r="D79">
        <v>30</v>
      </c>
      <c r="E79">
        <v>3</v>
      </c>
    </row>
    <row r="80" spans="1:5" x14ac:dyDescent="0.3">
      <c r="A80" t="s">
        <v>116</v>
      </c>
      <c r="D80">
        <v>15</v>
      </c>
      <c r="E80">
        <v>1</v>
      </c>
    </row>
    <row r="81" spans="1:5" x14ac:dyDescent="0.3">
      <c r="A81" t="s">
        <v>117</v>
      </c>
      <c r="D81">
        <v>40</v>
      </c>
      <c r="E81">
        <v>1</v>
      </c>
    </row>
    <row r="82" spans="1:5" x14ac:dyDescent="0.3">
      <c r="A82" t="s">
        <v>118</v>
      </c>
      <c r="D82">
        <v>20</v>
      </c>
      <c r="E82">
        <f>SUMIF(Purchases!B:B,#REF!,Purchases!D:D)-SUMIF(Sales!B:B,#REF!,Sales!D:D)</f>
        <v>0</v>
      </c>
    </row>
    <row r="83" spans="1:5" x14ac:dyDescent="0.3">
      <c r="A83" t="s">
        <v>119</v>
      </c>
      <c r="D83">
        <v>65</v>
      </c>
      <c r="E83">
        <v>3</v>
      </c>
    </row>
    <row r="84" spans="1:5" x14ac:dyDescent="0.3">
      <c r="A84" t="s">
        <v>120</v>
      </c>
      <c r="D84">
        <v>65</v>
      </c>
      <c r="E84">
        <v>4</v>
      </c>
    </row>
    <row r="85" spans="1:5" x14ac:dyDescent="0.3">
      <c r="A85" t="s">
        <v>121</v>
      </c>
      <c r="D85">
        <v>65</v>
      </c>
      <c r="E85">
        <f>SUMIF(Purchases!B:B,#REF!,Purchases!D:D)-SUMIF(Sales!B:B,#REF!,Sales!D:D)</f>
        <v>0</v>
      </c>
    </row>
    <row r="86" spans="1:5" x14ac:dyDescent="0.3">
      <c r="A86" t="s">
        <v>122</v>
      </c>
      <c r="D86">
        <v>75</v>
      </c>
      <c r="E86">
        <v>3</v>
      </c>
    </row>
    <row r="87" spans="1:5" x14ac:dyDescent="0.3">
      <c r="A87" t="s">
        <v>123</v>
      </c>
      <c r="D87">
        <v>75</v>
      </c>
      <c r="E87">
        <v>2</v>
      </c>
    </row>
    <row r="88" spans="1:5" x14ac:dyDescent="0.3">
      <c r="A88" t="s">
        <v>124</v>
      </c>
      <c r="D88">
        <v>50</v>
      </c>
      <c r="E88">
        <v>2</v>
      </c>
    </row>
    <row r="89" spans="1:5" x14ac:dyDescent="0.3">
      <c r="A89" t="s">
        <v>817</v>
      </c>
      <c r="D89">
        <v>50</v>
      </c>
      <c r="E89">
        <f>SUMIF(Purchases!B:B,#REF!,Purchases!D:D)-SUMIF(Sales!B:B,#REF!,Sales!D:D)</f>
        <v>0</v>
      </c>
    </row>
    <row r="90" spans="1:5" x14ac:dyDescent="0.3">
      <c r="A90" t="s">
        <v>125</v>
      </c>
      <c r="D90">
        <v>50</v>
      </c>
      <c r="E90">
        <v>1</v>
      </c>
    </row>
    <row r="91" spans="1:5" x14ac:dyDescent="0.3">
      <c r="A91" t="s">
        <v>126</v>
      </c>
      <c r="D91">
        <v>15</v>
      </c>
      <c r="E91">
        <f>SUMIF(Purchases!B:B,#REF!,Purchases!D:D)-SUMIF(Sales!B:B,#REF!,Sales!D:D)</f>
        <v>0</v>
      </c>
    </row>
    <row r="92" spans="1:5" x14ac:dyDescent="0.3">
      <c r="A92" t="s">
        <v>127</v>
      </c>
      <c r="D92">
        <v>80</v>
      </c>
      <c r="E92">
        <v>1</v>
      </c>
    </row>
    <row r="93" spans="1:5" x14ac:dyDescent="0.3">
      <c r="A93" t="s">
        <v>128</v>
      </c>
      <c r="D93">
        <v>65</v>
      </c>
      <c r="E93">
        <v>1</v>
      </c>
    </row>
    <row r="94" spans="1:5" x14ac:dyDescent="0.3">
      <c r="A94" t="s">
        <v>129</v>
      </c>
      <c r="D94">
        <v>140</v>
      </c>
      <c r="E94">
        <v>1</v>
      </c>
    </row>
    <row r="95" spans="1:5" x14ac:dyDescent="0.3">
      <c r="A95" t="s">
        <v>130</v>
      </c>
      <c r="D95">
        <v>120</v>
      </c>
      <c r="E95">
        <v>1</v>
      </c>
    </row>
    <row r="96" spans="1:5" x14ac:dyDescent="0.3">
      <c r="A96" t="s">
        <v>131</v>
      </c>
      <c r="D96">
        <v>80</v>
      </c>
      <c r="E96">
        <v>1</v>
      </c>
    </row>
    <row r="97" spans="1:5" x14ac:dyDescent="0.3">
      <c r="A97" t="s">
        <v>132</v>
      </c>
      <c r="D97">
        <v>50</v>
      </c>
      <c r="E97">
        <f>SUMIF(Purchases!B:B,#REF!,Purchases!D:D)-SUMIF(Sales!B:B,#REF!,Sales!D:D)</f>
        <v>0</v>
      </c>
    </row>
    <row r="98" spans="1:5" x14ac:dyDescent="0.3">
      <c r="A98" t="s">
        <v>133</v>
      </c>
      <c r="D98">
        <v>80</v>
      </c>
      <c r="E98">
        <f>SUMIF(Purchases!B:B,#REF!,Purchases!D:D)-SUMIF(Sales!B:B,#REF!,Sales!D:D)</f>
        <v>0</v>
      </c>
    </row>
    <row r="99" spans="1:5" x14ac:dyDescent="0.3">
      <c r="A99" t="s">
        <v>134</v>
      </c>
      <c r="D99">
        <v>100</v>
      </c>
      <c r="E99">
        <v>1</v>
      </c>
    </row>
    <row r="100" spans="1:5" x14ac:dyDescent="0.3">
      <c r="A100" t="s">
        <v>135</v>
      </c>
      <c r="D100">
        <v>55</v>
      </c>
      <c r="E100">
        <v>3</v>
      </c>
    </row>
    <row r="101" spans="1:5" x14ac:dyDescent="0.3">
      <c r="A101" t="s">
        <v>136</v>
      </c>
      <c r="D101">
        <v>60</v>
      </c>
      <c r="E101">
        <v>2</v>
      </c>
    </row>
    <row r="102" spans="1:5" x14ac:dyDescent="0.3">
      <c r="A102" t="s">
        <v>137</v>
      </c>
      <c r="D102">
        <v>70</v>
      </c>
      <c r="E102">
        <f>SUMIF(Purchases!B:B,#REF!,Purchases!D:D)-SUMIF(Sales!B:B,#REF!,Sales!D:D)</f>
        <v>0</v>
      </c>
    </row>
    <row r="103" spans="1:5" x14ac:dyDescent="0.3">
      <c r="A103" t="s">
        <v>138</v>
      </c>
      <c r="D103">
        <v>60</v>
      </c>
      <c r="E103">
        <v>1</v>
      </c>
    </row>
    <row r="104" spans="1:5" x14ac:dyDescent="0.3">
      <c r="A104" t="s">
        <v>139</v>
      </c>
      <c r="D104">
        <v>50</v>
      </c>
      <c r="E104">
        <f>SUMIF(Purchases!B:B,#REF!,Purchases!D:D)-SUMIF(Sales!B:B,#REF!,Sales!D:D)</f>
        <v>0</v>
      </c>
    </row>
    <row r="105" spans="1:5" x14ac:dyDescent="0.3">
      <c r="A105" t="s">
        <v>140</v>
      </c>
      <c r="D105">
        <v>50</v>
      </c>
      <c r="E105">
        <f>SUMIF(Purchases!B:B,#REF!,Purchases!D:D)-SUMIF(Sales!B:B,#REF!,Sales!D:D)</f>
        <v>0</v>
      </c>
    </row>
    <row r="106" spans="1:5" x14ac:dyDescent="0.3">
      <c r="A106" t="s">
        <v>141</v>
      </c>
      <c r="D106">
        <v>50</v>
      </c>
      <c r="E106">
        <v>4</v>
      </c>
    </row>
    <row r="107" spans="1:5" x14ac:dyDescent="0.3">
      <c r="A107" t="s">
        <v>142</v>
      </c>
      <c r="D107">
        <v>55</v>
      </c>
      <c r="E107">
        <v>1</v>
      </c>
    </row>
    <row r="108" spans="1:5" x14ac:dyDescent="0.3">
      <c r="A108" t="s">
        <v>143</v>
      </c>
      <c r="D108">
        <v>65</v>
      </c>
      <c r="E108">
        <v>1</v>
      </c>
    </row>
    <row r="109" spans="1:5" x14ac:dyDescent="0.3">
      <c r="A109" t="s">
        <v>144</v>
      </c>
      <c r="D109">
        <v>40</v>
      </c>
      <c r="E109">
        <v>1</v>
      </c>
    </row>
    <row r="110" spans="1:5" x14ac:dyDescent="0.3">
      <c r="A110" t="s">
        <v>145</v>
      </c>
      <c r="D110">
        <v>70</v>
      </c>
      <c r="E110">
        <v>2</v>
      </c>
    </row>
    <row r="111" spans="1:5" x14ac:dyDescent="0.3">
      <c r="A111" t="s">
        <v>146</v>
      </c>
      <c r="D111">
        <v>50</v>
      </c>
      <c r="E111">
        <v>2</v>
      </c>
    </row>
    <row r="112" spans="1:5" x14ac:dyDescent="0.3">
      <c r="A112" t="s">
        <v>147</v>
      </c>
      <c r="D112">
        <v>85</v>
      </c>
      <c r="E112">
        <v>1</v>
      </c>
    </row>
    <row r="113" spans="1:5" x14ac:dyDescent="0.3">
      <c r="A113" t="s">
        <v>148</v>
      </c>
      <c r="D113">
        <v>140</v>
      </c>
      <c r="E113">
        <v>1</v>
      </c>
    </row>
    <row r="114" spans="1:5" x14ac:dyDescent="0.3">
      <c r="A114" t="s">
        <v>149</v>
      </c>
      <c r="D114">
        <v>50</v>
      </c>
      <c r="E114">
        <v>1</v>
      </c>
    </row>
    <row r="115" spans="1:5" x14ac:dyDescent="0.3">
      <c r="A115" t="s">
        <v>150</v>
      </c>
      <c r="D115">
        <v>60</v>
      </c>
      <c r="E115">
        <v>3</v>
      </c>
    </row>
    <row r="116" spans="1:5" x14ac:dyDescent="0.3">
      <c r="A116" t="s">
        <v>151</v>
      </c>
      <c r="D116">
        <v>45</v>
      </c>
      <c r="E116">
        <v>4</v>
      </c>
    </row>
    <row r="117" spans="1:5" x14ac:dyDescent="0.3">
      <c r="A117" t="s">
        <v>152</v>
      </c>
      <c r="D117">
        <v>10</v>
      </c>
      <c r="E117">
        <v>22</v>
      </c>
    </row>
    <row r="118" spans="1:5" x14ac:dyDescent="0.3">
      <c r="A118" t="s">
        <v>153</v>
      </c>
      <c r="D118">
        <v>6</v>
      </c>
      <c r="E118">
        <v>2</v>
      </c>
    </row>
    <row r="119" spans="1:5" x14ac:dyDescent="0.3">
      <c r="A119" t="s">
        <v>154</v>
      </c>
      <c r="D119">
        <v>65</v>
      </c>
      <c r="E119">
        <v>2</v>
      </c>
    </row>
    <row r="120" spans="1:5" x14ac:dyDescent="0.3">
      <c r="A120" t="s">
        <v>155</v>
      </c>
      <c r="D120">
        <v>45</v>
      </c>
      <c r="E120">
        <v>3</v>
      </c>
    </row>
    <row r="121" spans="1:5" x14ac:dyDescent="0.3">
      <c r="A121" t="s">
        <v>156</v>
      </c>
      <c r="D121">
        <v>30</v>
      </c>
      <c r="E121">
        <v>2</v>
      </c>
    </row>
    <row r="122" spans="1:5" x14ac:dyDescent="0.3">
      <c r="A122" t="s">
        <v>157</v>
      </c>
      <c r="D122">
        <v>10</v>
      </c>
      <c r="E122">
        <v>3</v>
      </c>
    </row>
    <row r="123" spans="1:5" x14ac:dyDescent="0.3">
      <c r="A123" t="s">
        <v>158</v>
      </c>
      <c r="D123">
        <v>20</v>
      </c>
      <c r="E123">
        <v>3</v>
      </c>
    </row>
    <row r="124" spans="1:5" x14ac:dyDescent="0.3">
      <c r="A124" t="s">
        <v>159</v>
      </c>
      <c r="D124">
        <v>45</v>
      </c>
      <c r="E124">
        <v>1</v>
      </c>
    </row>
    <row r="125" spans="1:5" x14ac:dyDescent="0.3">
      <c r="A125" t="s">
        <v>160</v>
      </c>
      <c r="D125">
        <v>45</v>
      </c>
      <c r="E125">
        <v>4</v>
      </c>
    </row>
    <row r="126" spans="1:5" x14ac:dyDescent="0.3">
      <c r="A126" t="s">
        <v>161</v>
      </c>
      <c r="D126">
        <v>40</v>
      </c>
      <c r="E126">
        <v>0</v>
      </c>
    </row>
    <row r="127" spans="1:5" x14ac:dyDescent="0.3">
      <c r="A127" t="s">
        <v>162</v>
      </c>
      <c r="D127">
        <v>40</v>
      </c>
      <c r="E127">
        <v>2</v>
      </c>
    </row>
    <row r="128" spans="1:5" x14ac:dyDescent="0.3">
      <c r="A128" t="s">
        <v>163</v>
      </c>
      <c r="D128">
        <v>40</v>
      </c>
      <c r="E128">
        <v>1</v>
      </c>
    </row>
    <row r="129" spans="1:5" x14ac:dyDescent="0.3">
      <c r="A129" t="s">
        <v>164</v>
      </c>
      <c r="D129">
        <v>45</v>
      </c>
      <c r="E129">
        <v>1</v>
      </c>
    </row>
    <row r="130" spans="1:5" x14ac:dyDescent="0.3">
      <c r="A130" t="s">
        <v>165</v>
      </c>
      <c r="D130">
        <v>40</v>
      </c>
      <c r="E130">
        <v>27</v>
      </c>
    </row>
    <row r="131" spans="1:5" x14ac:dyDescent="0.3">
      <c r="A131" t="s">
        <v>166</v>
      </c>
      <c r="D131">
        <v>35</v>
      </c>
      <c r="E131">
        <v>2</v>
      </c>
    </row>
    <row r="132" spans="1:5" x14ac:dyDescent="0.3">
      <c r="A132" t="s">
        <v>167</v>
      </c>
      <c r="D132">
        <v>40</v>
      </c>
      <c r="E132">
        <v>3</v>
      </c>
    </row>
    <row r="133" spans="1:5" x14ac:dyDescent="0.3">
      <c r="A133" t="s">
        <v>168</v>
      </c>
      <c r="D133">
        <v>25</v>
      </c>
      <c r="E133">
        <v>1</v>
      </c>
    </row>
    <row r="134" spans="1:5" x14ac:dyDescent="0.3">
      <c r="A134" t="s">
        <v>169</v>
      </c>
      <c r="D134">
        <v>45</v>
      </c>
      <c r="E134">
        <v>4</v>
      </c>
    </row>
    <row r="135" spans="1:5" x14ac:dyDescent="0.3">
      <c r="A135" t="s">
        <v>170</v>
      </c>
      <c r="D135">
        <v>30</v>
      </c>
      <c r="E135">
        <v>1</v>
      </c>
    </row>
    <row r="136" spans="1:5" x14ac:dyDescent="0.3">
      <c r="A136" t="s">
        <v>171</v>
      </c>
      <c r="D136">
        <v>20</v>
      </c>
      <c r="E136">
        <v>3</v>
      </c>
    </row>
    <row r="137" spans="1:5" x14ac:dyDescent="0.3">
      <c r="A137" t="s">
        <v>172</v>
      </c>
      <c r="D137">
        <v>40</v>
      </c>
      <c r="E137">
        <v>1</v>
      </c>
    </row>
    <row r="138" spans="1:5" x14ac:dyDescent="0.3">
      <c r="A138" t="s">
        <v>173</v>
      </c>
      <c r="D138">
        <v>20</v>
      </c>
      <c r="E138">
        <v>2</v>
      </c>
    </row>
    <row r="139" spans="1:5" x14ac:dyDescent="0.3">
      <c r="A139" t="s">
        <v>911</v>
      </c>
      <c r="D139">
        <v>15</v>
      </c>
      <c r="E139">
        <v>1</v>
      </c>
    </row>
    <row r="140" spans="1:5" x14ac:dyDescent="0.3">
      <c r="A140" t="s">
        <v>910</v>
      </c>
      <c r="D140">
        <v>30</v>
      </c>
      <c r="E140">
        <v>4</v>
      </c>
    </row>
    <row r="141" spans="1:5" x14ac:dyDescent="0.3">
      <c r="A141" t="s">
        <v>174</v>
      </c>
      <c r="D141">
        <v>40</v>
      </c>
      <c r="E141">
        <f>SUMIF(Purchases!B:B,#REF!,Purchases!D:D)-SUMIF(Sales!B:B,#REF!,Sales!D:D)</f>
        <v>0</v>
      </c>
    </row>
    <row r="142" spans="1:5" x14ac:dyDescent="0.3">
      <c r="A142" t="s">
        <v>818</v>
      </c>
      <c r="D142">
        <v>25</v>
      </c>
      <c r="E142">
        <v>4</v>
      </c>
    </row>
    <row r="143" spans="1:5" x14ac:dyDescent="0.3">
      <c r="A143" t="s">
        <v>819</v>
      </c>
      <c r="D143">
        <v>40</v>
      </c>
      <c r="E143">
        <v>2</v>
      </c>
    </row>
    <row r="144" spans="1:5" x14ac:dyDescent="0.3">
      <c r="A144" t="s">
        <v>820</v>
      </c>
      <c r="D144">
        <v>20</v>
      </c>
      <c r="E144">
        <v>10</v>
      </c>
    </row>
    <row r="145" spans="1:5" x14ac:dyDescent="0.3">
      <c r="A145" t="s">
        <v>821</v>
      </c>
      <c r="D145">
        <v>40</v>
      </c>
      <c r="E145">
        <v>2</v>
      </c>
    </row>
    <row r="146" spans="1:5" x14ac:dyDescent="0.3">
      <c r="A146" t="s">
        <v>822</v>
      </c>
      <c r="D146">
        <v>22</v>
      </c>
    </row>
    <row r="147" spans="1:5" x14ac:dyDescent="0.3">
      <c r="A147" t="s">
        <v>909</v>
      </c>
      <c r="D147">
        <v>30</v>
      </c>
      <c r="E147">
        <v>2</v>
      </c>
    </row>
    <row r="148" spans="1:5" x14ac:dyDescent="0.3">
      <c r="A148" t="s">
        <v>175</v>
      </c>
      <c r="D148">
        <v>45</v>
      </c>
      <c r="E148">
        <v>1</v>
      </c>
    </row>
    <row r="149" spans="1:5" x14ac:dyDescent="0.3">
      <c r="A149" t="s">
        <v>176</v>
      </c>
      <c r="D149">
        <v>30</v>
      </c>
      <c r="E149">
        <v>4</v>
      </c>
    </row>
    <row r="150" spans="1:5" x14ac:dyDescent="0.3">
      <c r="A150" t="s">
        <v>177</v>
      </c>
      <c r="D150">
        <v>20</v>
      </c>
      <c r="E150">
        <v>14</v>
      </c>
    </row>
    <row r="151" spans="1:5" x14ac:dyDescent="0.3">
      <c r="A151" t="s">
        <v>178</v>
      </c>
      <c r="D151">
        <v>40</v>
      </c>
      <c r="E151">
        <f>SUMIF(Purchases!B:B,#REF!,Purchases!D:D)-SUMIF(Sales!B:B,#REF!,Sales!D:D)</f>
        <v>0</v>
      </c>
    </row>
    <row r="152" spans="1:5" x14ac:dyDescent="0.3">
      <c r="A152" t="s">
        <v>179</v>
      </c>
      <c r="D152">
        <v>20</v>
      </c>
      <c r="E152">
        <v>3</v>
      </c>
    </row>
    <row r="153" spans="1:5" x14ac:dyDescent="0.3">
      <c r="A153" t="s">
        <v>180</v>
      </c>
      <c r="D153">
        <v>15</v>
      </c>
      <c r="E153">
        <f>SUMIF(Purchases!B:B,#REF!,Purchases!D:D)-SUMIF(Sales!B:B,#REF!,Sales!D:D)</f>
        <v>0</v>
      </c>
    </row>
    <row r="154" spans="1:5" x14ac:dyDescent="0.3">
      <c r="A154" t="s">
        <v>181</v>
      </c>
      <c r="D154">
        <v>20</v>
      </c>
      <c r="E154">
        <v>5</v>
      </c>
    </row>
    <row r="155" spans="1:5" x14ac:dyDescent="0.3">
      <c r="A155" t="s">
        <v>908</v>
      </c>
      <c r="D155">
        <v>70</v>
      </c>
      <c r="E155">
        <v>1</v>
      </c>
    </row>
    <row r="156" spans="1:5" x14ac:dyDescent="0.3">
      <c r="A156" t="s">
        <v>907</v>
      </c>
      <c r="D156">
        <v>50</v>
      </c>
      <c r="E156">
        <v>2</v>
      </c>
    </row>
    <row r="157" spans="1:5" x14ac:dyDescent="0.3">
      <c r="A157" t="s">
        <v>906</v>
      </c>
    </row>
    <row r="158" spans="1:5" x14ac:dyDescent="0.3">
      <c r="A158" t="s">
        <v>182</v>
      </c>
      <c r="D158">
        <v>40</v>
      </c>
      <c r="E158">
        <v>3</v>
      </c>
    </row>
    <row r="159" spans="1:5" x14ac:dyDescent="0.3">
      <c r="A159" t="s">
        <v>183</v>
      </c>
      <c r="D159">
        <v>25</v>
      </c>
      <c r="E159">
        <v>2</v>
      </c>
    </row>
    <row r="160" spans="1:5" x14ac:dyDescent="0.3">
      <c r="A160" t="s">
        <v>184</v>
      </c>
      <c r="E160">
        <f>SUMIF(Purchases!B:B,#REF!,Purchases!D:D)-SUMIF(Sales!B:B,#REF!,Sales!D:D)</f>
        <v>0</v>
      </c>
    </row>
    <row r="161" spans="1:5" x14ac:dyDescent="0.3">
      <c r="A161" t="s">
        <v>185</v>
      </c>
      <c r="D161">
        <v>50</v>
      </c>
      <c r="E161">
        <f>SUMIF(Purchases!B:B,#REF!,Purchases!D:D)-SUMIF(Sales!B:B,#REF!,Sales!D:D)</f>
        <v>0</v>
      </c>
    </row>
    <row r="162" spans="1:5" x14ac:dyDescent="0.3">
      <c r="A162" t="s">
        <v>186</v>
      </c>
      <c r="D162">
        <v>25</v>
      </c>
      <c r="E162">
        <v>4</v>
      </c>
    </row>
    <row r="163" spans="1:5" x14ac:dyDescent="0.3">
      <c r="A163" t="s">
        <v>187</v>
      </c>
      <c r="D163">
        <v>45</v>
      </c>
      <c r="E163">
        <v>2</v>
      </c>
    </row>
    <row r="164" spans="1:5" x14ac:dyDescent="0.3">
      <c r="A164" t="s">
        <v>188</v>
      </c>
      <c r="E164">
        <f>SUMIF(Purchases!B:B,#REF!,Purchases!D:D)-SUMIF(Sales!B:B,#REF!,Sales!D:D)</f>
        <v>0</v>
      </c>
    </row>
    <row r="165" spans="1:5" x14ac:dyDescent="0.3">
      <c r="A165" t="s">
        <v>189</v>
      </c>
      <c r="D165">
        <v>20</v>
      </c>
      <c r="E165">
        <v>1</v>
      </c>
    </row>
    <row r="166" spans="1:5" x14ac:dyDescent="0.3">
      <c r="A166" t="s">
        <v>190</v>
      </c>
      <c r="D166">
        <v>40</v>
      </c>
      <c r="E166">
        <v>1</v>
      </c>
    </row>
    <row r="167" spans="1:5" x14ac:dyDescent="0.3">
      <c r="A167" t="s">
        <v>191</v>
      </c>
      <c r="E167">
        <f>SUMIF(Purchases!B:B,#REF!,Purchases!D:D)-SUMIF(Sales!B:B,#REF!,Sales!D:D)</f>
        <v>0</v>
      </c>
    </row>
    <row r="168" spans="1:5" x14ac:dyDescent="0.3">
      <c r="A168" t="s">
        <v>192</v>
      </c>
      <c r="D168">
        <v>20</v>
      </c>
      <c r="E168">
        <v>1</v>
      </c>
    </row>
    <row r="169" spans="1:5" x14ac:dyDescent="0.3">
      <c r="A169" t="s">
        <v>193</v>
      </c>
      <c r="D169">
        <v>45</v>
      </c>
      <c r="E169">
        <f>SUMIF(Purchases!B:B,#REF!,Purchases!D:D)-SUMIF(Sales!B:B,#REF!,Sales!D:D)</f>
        <v>0</v>
      </c>
    </row>
    <row r="170" spans="1:5" x14ac:dyDescent="0.3">
      <c r="A170" t="s">
        <v>912</v>
      </c>
      <c r="D170">
        <v>45</v>
      </c>
      <c r="E170">
        <v>1</v>
      </c>
    </row>
    <row r="171" spans="1:5" x14ac:dyDescent="0.3">
      <c r="A171" t="s">
        <v>194</v>
      </c>
      <c r="D171">
        <v>25</v>
      </c>
      <c r="E171">
        <v>2</v>
      </c>
    </row>
    <row r="172" spans="1:5" x14ac:dyDescent="0.3">
      <c r="A172" t="s">
        <v>905</v>
      </c>
      <c r="D172">
        <v>40</v>
      </c>
      <c r="E172">
        <v>3</v>
      </c>
    </row>
    <row r="173" spans="1:5" x14ac:dyDescent="0.3">
      <c r="A173" t="s">
        <v>904</v>
      </c>
      <c r="D173">
        <v>25</v>
      </c>
      <c r="E173">
        <v>3</v>
      </c>
    </row>
    <row r="174" spans="1:5" x14ac:dyDescent="0.3">
      <c r="A174" t="s">
        <v>903</v>
      </c>
      <c r="D174">
        <v>20</v>
      </c>
      <c r="E174">
        <v>2</v>
      </c>
    </row>
    <row r="175" spans="1:5" x14ac:dyDescent="0.3">
      <c r="A175" t="s">
        <v>195</v>
      </c>
      <c r="D175">
        <v>40</v>
      </c>
      <c r="E175">
        <v>2</v>
      </c>
    </row>
    <row r="176" spans="1:5" x14ac:dyDescent="0.3">
      <c r="A176" t="s">
        <v>913</v>
      </c>
      <c r="D176">
        <v>25</v>
      </c>
      <c r="E176">
        <v>3</v>
      </c>
    </row>
    <row r="177" spans="1:5" x14ac:dyDescent="0.3">
      <c r="A177" t="s">
        <v>196</v>
      </c>
      <c r="D177">
        <v>35</v>
      </c>
    </row>
    <row r="178" spans="1:5" x14ac:dyDescent="0.3">
      <c r="A178" t="s">
        <v>197</v>
      </c>
      <c r="D178">
        <v>20</v>
      </c>
      <c r="E178">
        <v>1</v>
      </c>
    </row>
    <row r="179" spans="1:5" x14ac:dyDescent="0.3">
      <c r="A179" t="s">
        <v>198</v>
      </c>
      <c r="D179">
        <v>50</v>
      </c>
      <c r="E179">
        <v>1</v>
      </c>
    </row>
    <row r="180" spans="1:5" x14ac:dyDescent="0.3">
      <c r="A180" t="s">
        <v>199</v>
      </c>
      <c r="D180">
        <v>35</v>
      </c>
      <c r="E180">
        <v>1</v>
      </c>
    </row>
    <row r="181" spans="1:5" x14ac:dyDescent="0.3">
      <c r="A181" t="s">
        <v>200</v>
      </c>
      <c r="D181">
        <v>35</v>
      </c>
      <c r="E181">
        <v>2</v>
      </c>
    </row>
    <row r="182" spans="1:5" x14ac:dyDescent="0.3">
      <c r="A182" t="s">
        <v>201</v>
      </c>
      <c r="D182">
        <v>45</v>
      </c>
      <c r="E182">
        <v>8</v>
      </c>
    </row>
    <row r="183" spans="1:5" x14ac:dyDescent="0.3">
      <c r="A183" t="s">
        <v>202</v>
      </c>
      <c r="D183">
        <v>30</v>
      </c>
      <c r="E183">
        <v>4</v>
      </c>
    </row>
    <row r="184" spans="1:5" x14ac:dyDescent="0.3">
      <c r="A184" t="s">
        <v>203</v>
      </c>
      <c r="D184">
        <v>25</v>
      </c>
      <c r="E184">
        <v>9</v>
      </c>
    </row>
    <row r="185" spans="1:5" x14ac:dyDescent="0.3">
      <c r="A185" t="s">
        <v>204</v>
      </c>
      <c r="D185">
        <v>35</v>
      </c>
      <c r="E185">
        <v>2</v>
      </c>
    </row>
    <row r="186" spans="1:5" x14ac:dyDescent="0.3">
      <c r="A186" t="s">
        <v>205</v>
      </c>
      <c r="D186">
        <v>25</v>
      </c>
      <c r="E186">
        <v>6</v>
      </c>
    </row>
    <row r="187" spans="1:5" x14ac:dyDescent="0.3">
      <c r="A187" t="s">
        <v>206</v>
      </c>
      <c r="D187">
        <v>50</v>
      </c>
      <c r="E187">
        <v>2</v>
      </c>
    </row>
    <row r="188" spans="1:5" x14ac:dyDescent="0.3">
      <c r="A188" t="s">
        <v>207</v>
      </c>
      <c r="D188">
        <v>70</v>
      </c>
    </row>
    <row r="189" spans="1:5" x14ac:dyDescent="0.3">
      <c r="A189" t="s">
        <v>208</v>
      </c>
      <c r="D189">
        <v>40</v>
      </c>
      <c r="E189">
        <v>1</v>
      </c>
    </row>
    <row r="190" spans="1:5" x14ac:dyDescent="0.3">
      <c r="A190" t="s">
        <v>209</v>
      </c>
      <c r="D190">
        <v>20</v>
      </c>
      <c r="E190">
        <v>2</v>
      </c>
    </row>
    <row r="191" spans="1:5" x14ac:dyDescent="0.3">
      <c r="A191" t="s">
        <v>210</v>
      </c>
      <c r="D191">
        <v>40</v>
      </c>
      <c r="E191">
        <v>2</v>
      </c>
    </row>
    <row r="192" spans="1:5" x14ac:dyDescent="0.3">
      <c r="A192" t="s">
        <v>211</v>
      </c>
      <c r="D192">
        <v>25</v>
      </c>
    </row>
    <row r="193" spans="1:5" x14ac:dyDescent="0.3">
      <c r="A193" t="s">
        <v>212</v>
      </c>
      <c r="D193">
        <v>15</v>
      </c>
      <c r="E193">
        <v>3</v>
      </c>
    </row>
    <row r="194" spans="1:5" x14ac:dyDescent="0.3">
      <c r="A194" t="s">
        <v>75</v>
      </c>
      <c r="D194">
        <v>40</v>
      </c>
      <c r="E194">
        <v>2</v>
      </c>
    </row>
    <row r="195" spans="1:5" x14ac:dyDescent="0.3">
      <c r="A195" t="s">
        <v>213</v>
      </c>
      <c r="D195">
        <v>65</v>
      </c>
      <c r="E195">
        <v>3</v>
      </c>
    </row>
    <row r="196" spans="1:5" x14ac:dyDescent="0.3">
      <c r="A196" t="s">
        <v>902</v>
      </c>
      <c r="D196">
        <v>65</v>
      </c>
      <c r="E196">
        <v>3</v>
      </c>
    </row>
    <row r="197" spans="1:5" x14ac:dyDescent="0.3">
      <c r="A197" t="s">
        <v>214</v>
      </c>
      <c r="D197">
        <v>40</v>
      </c>
      <c r="E197">
        <v>8</v>
      </c>
    </row>
    <row r="198" spans="1:5" x14ac:dyDescent="0.3">
      <c r="A198" t="s">
        <v>215</v>
      </c>
      <c r="D198">
        <v>30</v>
      </c>
      <c r="E198">
        <v>10</v>
      </c>
    </row>
    <row r="199" spans="1:5" x14ac:dyDescent="0.3">
      <c r="A199" t="s">
        <v>216</v>
      </c>
      <c r="D199">
        <v>20</v>
      </c>
      <c r="E199">
        <v>19</v>
      </c>
    </row>
    <row r="200" spans="1:5" x14ac:dyDescent="0.3">
      <c r="A200" t="s">
        <v>914</v>
      </c>
      <c r="D200">
        <v>30</v>
      </c>
      <c r="E200">
        <v>1</v>
      </c>
    </row>
    <row r="201" spans="1:5" x14ac:dyDescent="0.3">
      <c r="A201" t="s">
        <v>217</v>
      </c>
      <c r="D201">
        <v>30</v>
      </c>
      <c r="E201">
        <v>1</v>
      </c>
    </row>
    <row r="202" spans="1:5" x14ac:dyDescent="0.3">
      <c r="A202" t="s">
        <v>218</v>
      </c>
      <c r="D202">
        <v>15</v>
      </c>
      <c r="E202">
        <v>5</v>
      </c>
    </row>
    <row r="203" spans="1:5" x14ac:dyDescent="0.3">
      <c r="A203" t="s">
        <v>219</v>
      </c>
      <c r="D203">
        <v>40</v>
      </c>
      <c r="E203">
        <v>1</v>
      </c>
    </row>
    <row r="204" spans="1:5" x14ac:dyDescent="0.3">
      <c r="A204" t="s">
        <v>220</v>
      </c>
      <c r="D204">
        <v>20</v>
      </c>
    </row>
    <row r="205" spans="1:5" x14ac:dyDescent="0.3">
      <c r="A205" t="s">
        <v>901</v>
      </c>
      <c r="D205">
        <v>30</v>
      </c>
      <c r="E205">
        <v>1</v>
      </c>
    </row>
    <row r="206" spans="1:5" x14ac:dyDescent="0.3">
      <c r="A206" t="s">
        <v>221</v>
      </c>
      <c r="D206">
        <v>30</v>
      </c>
      <c r="E206">
        <v>3</v>
      </c>
    </row>
    <row r="207" spans="1:5" x14ac:dyDescent="0.3">
      <c r="A207" t="s">
        <v>222</v>
      </c>
      <c r="D207">
        <v>25</v>
      </c>
      <c r="E207">
        <v>1</v>
      </c>
    </row>
    <row r="208" spans="1:5" x14ac:dyDescent="0.3">
      <c r="A208" t="s">
        <v>223</v>
      </c>
      <c r="D208">
        <v>45</v>
      </c>
      <c r="E208">
        <v>2</v>
      </c>
    </row>
    <row r="209" spans="1:5" x14ac:dyDescent="0.3">
      <c r="A209" t="s">
        <v>224</v>
      </c>
      <c r="D209">
        <v>20</v>
      </c>
      <c r="E209">
        <v>1</v>
      </c>
    </row>
    <row r="210" spans="1:5" x14ac:dyDescent="0.3">
      <c r="A210" t="s">
        <v>225</v>
      </c>
      <c r="D210">
        <v>50</v>
      </c>
      <c r="E210">
        <v>3</v>
      </c>
    </row>
    <row r="211" spans="1:5" x14ac:dyDescent="0.3">
      <c r="A211" t="s">
        <v>915</v>
      </c>
      <c r="D211">
        <v>15</v>
      </c>
      <c r="E211">
        <v>1</v>
      </c>
    </row>
    <row r="212" spans="1:5" x14ac:dyDescent="0.3">
      <c r="A212" t="s">
        <v>226</v>
      </c>
      <c r="D212">
        <v>25</v>
      </c>
      <c r="E212">
        <v>3</v>
      </c>
    </row>
    <row r="213" spans="1:5" x14ac:dyDescent="0.3">
      <c r="A213" t="s">
        <v>227</v>
      </c>
      <c r="D213">
        <v>40</v>
      </c>
      <c r="E213">
        <v>2</v>
      </c>
    </row>
    <row r="214" spans="1:5" x14ac:dyDescent="0.3">
      <c r="A214" t="s">
        <v>228</v>
      </c>
      <c r="D214">
        <v>20</v>
      </c>
      <c r="E214">
        <v>1</v>
      </c>
    </row>
    <row r="215" spans="1:5" x14ac:dyDescent="0.3">
      <c r="A215" t="s">
        <v>229</v>
      </c>
      <c r="D215">
        <v>60</v>
      </c>
    </row>
    <row r="216" spans="1:5" x14ac:dyDescent="0.3">
      <c r="A216" t="s">
        <v>230</v>
      </c>
      <c r="D216">
        <v>40</v>
      </c>
      <c r="E216">
        <v>2</v>
      </c>
    </row>
    <row r="217" spans="1:5" x14ac:dyDescent="0.3">
      <c r="A217" t="s">
        <v>231</v>
      </c>
      <c r="D217">
        <v>40</v>
      </c>
    </row>
    <row r="218" spans="1:5" x14ac:dyDescent="0.3">
      <c r="A218" t="s">
        <v>916</v>
      </c>
      <c r="D218">
        <v>15</v>
      </c>
      <c r="E218">
        <v>3</v>
      </c>
    </row>
    <row r="219" spans="1:5" x14ac:dyDescent="0.3">
      <c r="A219" t="s">
        <v>232</v>
      </c>
      <c r="D219">
        <v>30</v>
      </c>
      <c r="E219">
        <v>1</v>
      </c>
    </row>
    <row r="220" spans="1:5" x14ac:dyDescent="0.3">
      <c r="A220" t="s">
        <v>233</v>
      </c>
      <c r="D220">
        <v>40</v>
      </c>
      <c r="E220">
        <v>4</v>
      </c>
    </row>
    <row r="221" spans="1:5" x14ac:dyDescent="0.3">
      <c r="A221" t="s">
        <v>234</v>
      </c>
      <c r="D221">
        <v>35</v>
      </c>
      <c r="E221">
        <v>1</v>
      </c>
    </row>
    <row r="222" spans="1:5" x14ac:dyDescent="0.3">
      <c r="A222" t="s">
        <v>235</v>
      </c>
      <c r="D222">
        <v>25</v>
      </c>
    </row>
    <row r="223" spans="1:5" x14ac:dyDescent="0.3">
      <c r="A223" t="s">
        <v>236</v>
      </c>
      <c r="D223">
        <v>20</v>
      </c>
      <c r="E223">
        <v>1</v>
      </c>
    </row>
    <row r="224" spans="1:5" x14ac:dyDescent="0.3">
      <c r="A224" t="s">
        <v>237</v>
      </c>
      <c r="D224">
        <v>35</v>
      </c>
      <c r="E224">
        <v>1</v>
      </c>
    </row>
    <row r="225" spans="1:5" x14ac:dyDescent="0.3">
      <c r="A225" t="s">
        <v>238</v>
      </c>
      <c r="D225">
        <v>50</v>
      </c>
      <c r="E225">
        <v>3</v>
      </c>
    </row>
    <row r="226" spans="1:5" x14ac:dyDescent="0.3">
      <c r="A226" t="s">
        <v>239</v>
      </c>
      <c r="D226">
        <v>50</v>
      </c>
    </row>
    <row r="227" spans="1:5" x14ac:dyDescent="0.3">
      <c r="A227" t="s">
        <v>240</v>
      </c>
      <c r="D227">
        <v>55</v>
      </c>
      <c r="E227">
        <v>1</v>
      </c>
    </row>
    <row r="228" spans="1:5" x14ac:dyDescent="0.3">
      <c r="A228" t="s">
        <v>241</v>
      </c>
      <c r="D228">
        <v>40</v>
      </c>
      <c r="E228">
        <v>2</v>
      </c>
    </row>
    <row r="229" spans="1:5" x14ac:dyDescent="0.3">
      <c r="A229" t="s">
        <v>242</v>
      </c>
      <c r="D229">
        <v>25</v>
      </c>
      <c r="E229">
        <v>55</v>
      </c>
    </row>
    <row r="230" spans="1:5" x14ac:dyDescent="0.3">
      <c r="A230" t="s">
        <v>243</v>
      </c>
      <c r="D230">
        <v>50</v>
      </c>
      <c r="E230">
        <v>55</v>
      </c>
    </row>
    <row r="231" spans="1:5" x14ac:dyDescent="0.3">
      <c r="A231" t="s">
        <v>244</v>
      </c>
      <c r="D231">
        <v>30</v>
      </c>
      <c r="E231">
        <v>55</v>
      </c>
    </row>
    <row r="232" spans="1:5" x14ac:dyDescent="0.3">
      <c r="A232" t="s">
        <v>245</v>
      </c>
    </row>
    <row r="233" spans="1:5" x14ac:dyDescent="0.3">
      <c r="A233" t="s">
        <v>246</v>
      </c>
      <c r="D233">
        <v>50</v>
      </c>
      <c r="E233">
        <v>3</v>
      </c>
    </row>
    <row r="234" spans="1:5" x14ac:dyDescent="0.3">
      <c r="A234" t="s">
        <v>247</v>
      </c>
      <c r="D234">
        <v>30</v>
      </c>
      <c r="E234">
        <v>2</v>
      </c>
    </row>
    <row r="235" spans="1:5" x14ac:dyDescent="0.3">
      <c r="A235" t="s">
        <v>248</v>
      </c>
      <c r="D235">
        <v>40</v>
      </c>
    </row>
    <row r="236" spans="1:5" x14ac:dyDescent="0.3">
      <c r="A236" t="s">
        <v>249</v>
      </c>
      <c r="D236">
        <v>20</v>
      </c>
    </row>
    <row r="237" spans="1:5" x14ac:dyDescent="0.3">
      <c r="A237" t="s">
        <v>250</v>
      </c>
      <c r="D237">
        <v>50</v>
      </c>
      <c r="E237">
        <v>1</v>
      </c>
    </row>
    <row r="238" spans="1:5" x14ac:dyDescent="0.3">
      <c r="A238" t="s">
        <v>251</v>
      </c>
      <c r="D238">
        <v>30</v>
      </c>
      <c r="E238">
        <v>1</v>
      </c>
    </row>
    <row r="239" spans="1:5" x14ac:dyDescent="0.3">
      <c r="A239" t="s">
        <v>252</v>
      </c>
      <c r="D239">
        <v>45</v>
      </c>
    </row>
    <row r="240" spans="1:5" x14ac:dyDescent="0.3">
      <c r="A240" t="s">
        <v>253</v>
      </c>
      <c r="D240">
        <v>20</v>
      </c>
      <c r="E240">
        <v>4</v>
      </c>
    </row>
    <row r="241" spans="1:5" x14ac:dyDescent="0.3">
      <c r="A241" t="s">
        <v>254</v>
      </c>
      <c r="D241">
        <v>45</v>
      </c>
      <c r="E241">
        <v>3</v>
      </c>
    </row>
    <row r="242" spans="1:5" x14ac:dyDescent="0.3">
      <c r="A242" t="s">
        <v>255</v>
      </c>
      <c r="D242">
        <v>30</v>
      </c>
      <c r="E242">
        <v>2</v>
      </c>
    </row>
    <row r="243" spans="1:5" x14ac:dyDescent="0.3">
      <c r="A243" t="s">
        <v>256</v>
      </c>
      <c r="D243">
        <v>20</v>
      </c>
    </row>
    <row r="244" spans="1:5" x14ac:dyDescent="0.3">
      <c r="A244" t="s">
        <v>257</v>
      </c>
      <c r="D244">
        <v>27</v>
      </c>
      <c r="E244">
        <v>7</v>
      </c>
    </row>
    <row r="245" spans="1:5" x14ac:dyDescent="0.3">
      <c r="A245" t="s">
        <v>258</v>
      </c>
      <c r="D245">
        <v>18</v>
      </c>
      <c r="E245">
        <v>18</v>
      </c>
    </row>
    <row r="246" spans="1:5" x14ac:dyDescent="0.3">
      <c r="A246" t="s">
        <v>259</v>
      </c>
      <c r="D246">
        <v>60</v>
      </c>
      <c r="E246">
        <v>1</v>
      </c>
    </row>
    <row r="247" spans="1:5" x14ac:dyDescent="0.3">
      <c r="A247" t="s">
        <v>260</v>
      </c>
      <c r="D247">
        <v>40</v>
      </c>
      <c r="E247">
        <v>1</v>
      </c>
    </row>
    <row r="248" spans="1:5" x14ac:dyDescent="0.3">
      <c r="A248" t="s">
        <v>261</v>
      </c>
      <c r="D248">
        <v>30</v>
      </c>
      <c r="E248">
        <v>8</v>
      </c>
    </row>
    <row r="249" spans="1:5" x14ac:dyDescent="0.3">
      <c r="A249" t="s">
        <v>262</v>
      </c>
      <c r="D249">
        <v>15</v>
      </c>
      <c r="E249">
        <v>8</v>
      </c>
    </row>
    <row r="250" spans="1:5" x14ac:dyDescent="0.3">
      <c r="A250" t="s">
        <v>263</v>
      </c>
    </row>
    <row r="251" spans="1:5" x14ac:dyDescent="0.3">
      <c r="A251" t="s">
        <v>264</v>
      </c>
      <c r="D251">
        <v>40</v>
      </c>
      <c r="E251">
        <v>7</v>
      </c>
    </row>
    <row r="252" spans="1:5" x14ac:dyDescent="0.3">
      <c r="A252" t="s">
        <v>265</v>
      </c>
      <c r="D252">
        <v>30</v>
      </c>
      <c r="E252">
        <v>8</v>
      </c>
    </row>
    <row r="253" spans="1:5" x14ac:dyDescent="0.3">
      <c r="A253" t="s">
        <v>266</v>
      </c>
      <c r="D253">
        <v>20</v>
      </c>
      <c r="E253">
        <v>2</v>
      </c>
    </row>
    <row r="254" spans="1:5" x14ac:dyDescent="0.3">
      <c r="A254" t="s">
        <v>267</v>
      </c>
      <c r="D254">
        <v>45</v>
      </c>
    </row>
    <row r="255" spans="1:5" x14ac:dyDescent="0.3">
      <c r="A255" t="s">
        <v>268</v>
      </c>
      <c r="D255">
        <v>25</v>
      </c>
      <c r="E255">
        <v>2</v>
      </c>
    </row>
    <row r="256" spans="1:5" x14ac:dyDescent="0.3">
      <c r="A256" t="s">
        <v>269</v>
      </c>
      <c r="D256">
        <v>40</v>
      </c>
      <c r="E256">
        <v>3</v>
      </c>
    </row>
    <row r="257" spans="1:5" x14ac:dyDescent="0.3">
      <c r="A257" t="s">
        <v>270</v>
      </c>
      <c r="D257">
        <v>25</v>
      </c>
      <c r="E257">
        <v>2</v>
      </c>
    </row>
    <row r="258" spans="1:5" x14ac:dyDescent="0.3">
      <c r="A258" t="s">
        <v>271</v>
      </c>
      <c r="D258">
        <v>15</v>
      </c>
      <c r="E258">
        <v>1</v>
      </c>
    </row>
    <row r="259" spans="1:5" x14ac:dyDescent="0.3">
      <c r="A259" t="s">
        <v>272</v>
      </c>
      <c r="D259">
        <v>40</v>
      </c>
      <c r="E259">
        <v>4</v>
      </c>
    </row>
    <row r="260" spans="1:5" x14ac:dyDescent="0.3">
      <c r="A260" t="s">
        <v>273</v>
      </c>
      <c r="D260">
        <v>25</v>
      </c>
      <c r="E260">
        <v>2</v>
      </c>
    </row>
    <row r="261" spans="1:5" x14ac:dyDescent="0.3">
      <c r="A261" t="s">
        <v>274</v>
      </c>
      <c r="D261">
        <v>15</v>
      </c>
      <c r="E261">
        <v>3</v>
      </c>
    </row>
    <row r="262" spans="1:5" x14ac:dyDescent="0.3">
      <c r="A262" t="s">
        <v>275</v>
      </c>
      <c r="D262">
        <v>45</v>
      </c>
    </row>
    <row r="263" spans="1:5" x14ac:dyDescent="0.3">
      <c r="A263" t="s">
        <v>276</v>
      </c>
      <c r="D263">
        <v>30</v>
      </c>
    </row>
    <row r="264" spans="1:5" x14ac:dyDescent="0.3">
      <c r="A264" t="s">
        <v>277</v>
      </c>
      <c r="D264">
        <v>15</v>
      </c>
      <c r="E264">
        <v>2</v>
      </c>
    </row>
    <row r="265" spans="1:5" x14ac:dyDescent="0.3">
      <c r="A265" t="s">
        <v>278</v>
      </c>
      <c r="D265">
        <v>25</v>
      </c>
      <c r="E265">
        <v>2</v>
      </c>
    </row>
    <row r="266" spans="1:5" x14ac:dyDescent="0.3">
      <c r="A266" t="s">
        <v>279</v>
      </c>
      <c r="D266">
        <v>15</v>
      </c>
      <c r="E266">
        <v>2</v>
      </c>
    </row>
    <row r="267" spans="1:5" x14ac:dyDescent="0.3">
      <c r="A267" t="s">
        <v>280</v>
      </c>
      <c r="D267">
        <v>30</v>
      </c>
    </row>
    <row r="268" spans="1:5" x14ac:dyDescent="0.3">
      <c r="A268" t="s">
        <v>281</v>
      </c>
      <c r="D268">
        <v>20</v>
      </c>
    </row>
    <row r="269" spans="1:5" x14ac:dyDescent="0.3">
      <c r="A269" t="s">
        <v>282</v>
      </c>
      <c r="D269">
        <v>15</v>
      </c>
    </row>
    <row r="270" spans="1:5" x14ac:dyDescent="0.3">
      <c r="A270" t="s">
        <v>283</v>
      </c>
      <c r="D270">
        <v>35</v>
      </c>
    </row>
    <row r="271" spans="1:5" x14ac:dyDescent="0.3">
      <c r="A271" t="s">
        <v>284</v>
      </c>
      <c r="D271">
        <v>20</v>
      </c>
      <c r="E271">
        <v>3</v>
      </c>
    </row>
    <row r="272" spans="1:5" x14ac:dyDescent="0.3">
      <c r="A272" t="s">
        <v>285</v>
      </c>
      <c r="D272">
        <v>15</v>
      </c>
      <c r="E272">
        <v>3</v>
      </c>
    </row>
    <row r="273" spans="1:5" x14ac:dyDescent="0.3">
      <c r="A273" t="s">
        <v>286</v>
      </c>
      <c r="D273">
        <v>25</v>
      </c>
      <c r="E273">
        <v>6</v>
      </c>
    </row>
    <row r="274" spans="1:5" x14ac:dyDescent="0.3">
      <c r="A274" t="s">
        <v>287</v>
      </c>
      <c r="D274">
        <v>15</v>
      </c>
      <c r="E274">
        <v>3</v>
      </c>
    </row>
    <row r="275" spans="1:5" x14ac:dyDescent="0.3">
      <c r="A275" t="s">
        <v>288</v>
      </c>
      <c r="D275">
        <v>25</v>
      </c>
    </row>
    <row r="276" spans="1:5" x14ac:dyDescent="0.3">
      <c r="A276" t="s">
        <v>289</v>
      </c>
      <c r="D276">
        <v>15</v>
      </c>
      <c r="E276">
        <v>3</v>
      </c>
    </row>
    <row r="277" spans="1:5" x14ac:dyDescent="0.3">
      <c r="A277" t="s">
        <v>290</v>
      </c>
      <c r="D277">
        <v>25</v>
      </c>
      <c r="E277">
        <v>5</v>
      </c>
    </row>
    <row r="278" spans="1:5" x14ac:dyDescent="0.3">
      <c r="A278" t="s">
        <v>291</v>
      </c>
      <c r="D278">
        <v>25</v>
      </c>
      <c r="E278">
        <v>2</v>
      </c>
    </row>
    <row r="279" spans="1:5" x14ac:dyDescent="0.3">
      <c r="A279" t="s">
        <v>292</v>
      </c>
      <c r="D279">
        <v>25</v>
      </c>
      <c r="E279">
        <v>3</v>
      </c>
    </row>
    <row r="280" spans="1:5" x14ac:dyDescent="0.3">
      <c r="A280" t="s">
        <v>293</v>
      </c>
      <c r="D280">
        <v>15</v>
      </c>
    </row>
    <row r="281" spans="1:5" x14ac:dyDescent="0.3">
      <c r="A281" t="s">
        <v>294</v>
      </c>
      <c r="D281">
        <v>25</v>
      </c>
    </row>
    <row r="282" spans="1:5" x14ac:dyDescent="0.3">
      <c r="A282" t="s">
        <v>295</v>
      </c>
      <c r="D282">
        <v>15</v>
      </c>
      <c r="E282">
        <v>1</v>
      </c>
    </row>
    <row r="283" spans="1:5" x14ac:dyDescent="0.3">
      <c r="A283" t="s">
        <v>296</v>
      </c>
      <c r="D283">
        <v>25</v>
      </c>
    </row>
    <row r="284" spans="1:5" x14ac:dyDescent="0.3">
      <c r="A284" t="s">
        <v>297</v>
      </c>
      <c r="D284">
        <v>25</v>
      </c>
      <c r="E284">
        <v>3</v>
      </c>
    </row>
    <row r="285" spans="1:5" x14ac:dyDescent="0.3">
      <c r="A285" t="s">
        <v>298</v>
      </c>
      <c r="D285">
        <v>15</v>
      </c>
      <c r="E285">
        <v>6</v>
      </c>
    </row>
    <row r="286" spans="1:5" x14ac:dyDescent="0.3">
      <c r="A286" t="s">
        <v>299</v>
      </c>
      <c r="D286">
        <v>40</v>
      </c>
      <c r="E286">
        <v>3</v>
      </c>
    </row>
    <row r="287" spans="1:5" x14ac:dyDescent="0.3">
      <c r="A287" t="s">
        <v>300</v>
      </c>
      <c r="D287">
        <v>20</v>
      </c>
    </row>
    <row r="288" spans="1:5" x14ac:dyDescent="0.3">
      <c r="A288" t="s">
        <v>917</v>
      </c>
      <c r="D288">
        <v>60</v>
      </c>
      <c r="E288">
        <v>1</v>
      </c>
    </row>
    <row r="289" spans="1:5" x14ac:dyDescent="0.3">
      <c r="A289" t="s">
        <v>899</v>
      </c>
      <c r="D289">
        <v>40</v>
      </c>
      <c r="E289">
        <v>2</v>
      </c>
    </row>
    <row r="290" spans="1:5" x14ac:dyDescent="0.3">
      <c r="A290" t="s">
        <v>900</v>
      </c>
      <c r="D290">
        <v>10</v>
      </c>
      <c r="E290">
        <v>3</v>
      </c>
    </row>
    <row r="291" spans="1:5" x14ac:dyDescent="0.3">
      <c r="A291" t="s">
        <v>898</v>
      </c>
      <c r="D291">
        <v>25</v>
      </c>
      <c r="E291">
        <v>8</v>
      </c>
    </row>
    <row r="292" spans="1:5" x14ac:dyDescent="0.3">
      <c r="A292" t="s">
        <v>301</v>
      </c>
      <c r="D292">
        <v>25</v>
      </c>
    </row>
    <row r="293" spans="1:5" x14ac:dyDescent="0.3">
      <c r="A293" t="s">
        <v>302</v>
      </c>
      <c r="D293">
        <v>50</v>
      </c>
    </row>
    <row r="294" spans="1:5" x14ac:dyDescent="0.3">
      <c r="A294" t="s">
        <v>303</v>
      </c>
      <c r="D294">
        <v>30</v>
      </c>
      <c r="E294">
        <v>6</v>
      </c>
    </row>
    <row r="295" spans="1:5" x14ac:dyDescent="0.3">
      <c r="A295" t="s">
        <v>304</v>
      </c>
      <c r="D295">
        <v>18</v>
      </c>
      <c r="E295">
        <v>9</v>
      </c>
    </row>
    <row r="296" spans="1:5" x14ac:dyDescent="0.3">
      <c r="A296" t="s">
        <v>305</v>
      </c>
      <c r="D296">
        <v>15</v>
      </c>
    </row>
    <row r="297" spans="1:5" x14ac:dyDescent="0.3">
      <c r="A297" t="s">
        <v>306</v>
      </c>
      <c r="D297">
        <v>25</v>
      </c>
    </row>
    <row r="298" spans="1:5" x14ac:dyDescent="0.3">
      <c r="A298" t="s">
        <v>307</v>
      </c>
      <c r="D298">
        <v>15</v>
      </c>
      <c r="E298">
        <v>10</v>
      </c>
    </row>
    <row r="299" spans="1:5" x14ac:dyDescent="0.3">
      <c r="A299" t="s">
        <v>308</v>
      </c>
      <c r="D299">
        <v>15</v>
      </c>
      <c r="E299">
        <v>6</v>
      </c>
    </row>
    <row r="300" spans="1:5" x14ac:dyDescent="0.3">
      <c r="A300" t="s">
        <v>309</v>
      </c>
      <c r="D300">
        <v>100</v>
      </c>
      <c r="E300">
        <v>4</v>
      </c>
    </row>
    <row r="301" spans="1:5" x14ac:dyDescent="0.3">
      <c r="A301" t="s">
        <v>310</v>
      </c>
      <c r="D301">
        <v>15</v>
      </c>
      <c r="E301">
        <v>4</v>
      </c>
    </row>
    <row r="302" spans="1:5" x14ac:dyDescent="0.3">
      <c r="A302" t="s">
        <v>311</v>
      </c>
      <c r="D302">
        <v>8</v>
      </c>
      <c r="E302">
        <v>12</v>
      </c>
    </row>
    <row r="303" spans="1:5" x14ac:dyDescent="0.3">
      <c r="A303" t="s">
        <v>312</v>
      </c>
      <c r="D303">
        <v>35</v>
      </c>
      <c r="E303">
        <v>2</v>
      </c>
    </row>
    <row r="304" spans="1:5" x14ac:dyDescent="0.3">
      <c r="A304" t="s">
        <v>313</v>
      </c>
      <c r="D304">
        <v>15</v>
      </c>
      <c r="E304">
        <v>1</v>
      </c>
    </row>
    <row r="305" spans="1:5" x14ac:dyDescent="0.3">
      <c r="A305" t="s">
        <v>314</v>
      </c>
      <c r="D305">
        <v>35</v>
      </c>
    </row>
    <row r="306" spans="1:5" x14ac:dyDescent="0.3">
      <c r="A306" t="s">
        <v>315</v>
      </c>
      <c r="D306">
        <v>15</v>
      </c>
    </row>
    <row r="307" spans="1:5" x14ac:dyDescent="0.3">
      <c r="A307" t="s">
        <v>316</v>
      </c>
      <c r="D307">
        <v>35</v>
      </c>
    </row>
    <row r="308" spans="1:5" x14ac:dyDescent="0.3">
      <c r="A308" t="s">
        <v>317</v>
      </c>
      <c r="D308">
        <v>25</v>
      </c>
      <c r="E308">
        <v>1</v>
      </c>
    </row>
    <row r="309" spans="1:5" x14ac:dyDescent="0.3">
      <c r="A309" t="s">
        <v>318</v>
      </c>
      <c r="D309">
        <v>15</v>
      </c>
      <c r="E309">
        <v>2</v>
      </c>
    </row>
    <row r="310" spans="1:5" x14ac:dyDescent="0.3">
      <c r="A310" t="s">
        <v>319</v>
      </c>
      <c r="D310">
        <v>65</v>
      </c>
      <c r="E310">
        <v>2</v>
      </c>
    </row>
    <row r="311" spans="1:5" x14ac:dyDescent="0.3">
      <c r="A311" t="s">
        <v>320</v>
      </c>
      <c r="D311">
        <v>15</v>
      </c>
      <c r="E311">
        <v>1</v>
      </c>
    </row>
    <row r="312" spans="1:5" x14ac:dyDescent="0.3">
      <c r="A312" t="s">
        <v>897</v>
      </c>
      <c r="D312">
        <v>25</v>
      </c>
    </row>
    <row r="313" spans="1:5" x14ac:dyDescent="0.3">
      <c r="A313" t="s">
        <v>321</v>
      </c>
      <c r="D313">
        <v>15</v>
      </c>
    </row>
    <row r="314" spans="1:5" x14ac:dyDescent="0.3">
      <c r="A314" t="s">
        <v>322</v>
      </c>
      <c r="D314">
        <v>65</v>
      </c>
    </row>
    <row r="315" spans="1:5" x14ac:dyDescent="0.3">
      <c r="A315" t="s">
        <v>323</v>
      </c>
      <c r="D315">
        <v>22</v>
      </c>
      <c r="E315">
        <v>2</v>
      </c>
    </row>
    <row r="316" spans="1:5" x14ac:dyDescent="0.3">
      <c r="A316" t="s">
        <v>324</v>
      </c>
      <c r="D316">
        <v>15</v>
      </c>
      <c r="E316">
        <v>4</v>
      </c>
    </row>
    <row r="317" spans="1:5" x14ac:dyDescent="0.3">
      <c r="A317" t="s">
        <v>325</v>
      </c>
      <c r="D317">
        <v>65</v>
      </c>
      <c r="E317">
        <v>1</v>
      </c>
    </row>
    <row r="318" spans="1:5" x14ac:dyDescent="0.3">
      <c r="A318" t="s">
        <v>326</v>
      </c>
      <c r="D318">
        <v>30</v>
      </c>
    </row>
    <row r="319" spans="1:5" x14ac:dyDescent="0.3">
      <c r="A319" t="s">
        <v>327</v>
      </c>
      <c r="D319">
        <v>22</v>
      </c>
      <c r="E319">
        <v>2</v>
      </c>
    </row>
    <row r="320" spans="1:5" x14ac:dyDescent="0.3">
      <c r="A320" t="s">
        <v>328</v>
      </c>
      <c r="D320">
        <v>15</v>
      </c>
      <c r="E320">
        <v>7</v>
      </c>
    </row>
    <row r="321" spans="1:5" x14ac:dyDescent="0.3">
      <c r="A321" t="s">
        <v>329</v>
      </c>
      <c r="D321">
        <v>65</v>
      </c>
      <c r="E321">
        <v>1</v>
      </c>
    </row>
    <row r="322" spans="1:5" x14ac:dyDescent="0.3">
      <c r="A322" t="s">
        <v>330</v>
      </c>
      <c r="D322">
        <v>32</v>
      </c>
      <c r="E322">
        <v>2</v>
      </c>
    </row>
    <row r="323" spans="1:5" x14ac:dyDescent="0.3">
      <c r="A323" t="s">
        <v>331</v>
      </c>
      <c r="D323">
        <v>23</v>
      </c>
    </row>
    <row r="324" spans="1:5" x14ac:dyDescent="0.3">
      <c r="A324" t="s">
        <v>332</v>
      </c>
      <c r="D324">
        <v>15</v>
      </c>
      <c r="E324">
        <v>9</v>
      </c>
    </row>
    <row r="325" spans="1:5" x14ac:dyDescent="0.3">
      <c r="A325" t="s">
        <v>333</v>
      </c>
      <c r="D325">
        <v>70</v>
      </c>
      <c r="E325">
        <v>1</v>
      </c>
    </row>
    <row r="326" spans="1:5" x14ac:dyDescent="0.3">
      <c r="A326" t="s">
        <v>334</v>
      </c>
      <c r="D326">
        <v>32</v>
      </c>
    </row>
    <row r="327" spans="1:5" x14ac:dyDescent="0.3">
      <c r="A327" t="s">
        <v>335</v>
      </c>
      <c r="D327">
        <v>23</v>
      </c>
      <c r="E327">
        <v>20</v>
      </c>
    </row>
    <row r="328" spans="1:5" x14ac:dyDescent="0.3">
      <c r="A328" t="s">
        <v>336</v>
      </c>
      <c r="D328">
        <v>15</v>
      </c>
      <c r="E328">
        <v>1</v>
      </c>
    </row>
    <row r="329" spans="1:5" x14ac:dyDescent="0.3">
      <c r="A329" t="s">
        <v>337</v>
      </c>
      <c r="D329">
        <v>50</v>
      </c>
      <c r="E329">
        <v>1</v>
      </c>
    </row>
    <row r="330" spans="1:5" x14ac:dyDescent="0.3">
      <c r="A330" t="s">
        <v>338</v>
      </c>
      <c r="D330">
        <v>35</v>
      </c>
      <c r="E330">
        <v>1</v>
      </c>
    </row>
    <row r="331" spans="1:5" x14ac:dyDescent="0.3">
      <c r="A331" t="s">
        <v>339</v>
      </c>
      <c r="D331">
        <v>20</v>
      </c>
      <c r="E331">
        <v>1</v>
      </c>
    </row>
    <row r="332" spans="1:5" x14ac:dyDescent="0.3">
      <c r="A332" t="s">
        <v>918</v>
      </c>
      <c r="D332">
        <v>50</v>
      </c>
      <c r="E332">
        <v>1</v>
      </c>
    </row>
    <row r="333" spans="1:5" x14ac:dyDescent="0.3">
      <c r="A333" t="s">
        <v>340</v>
      </c>
      <c r="D333">
        <v>20</v>
      </c>
      <c r="E333">
        <v>1</v>
      </c>
    </row>
    <row r="334" spans="1:5" x14ac:dyDescent="0.3">
      <c r="A334" t="s">
        <v>341</v>
      </c>
      <c r="D334">
        <v>15</v>
      </c>
      <c r="E334">
        <v>1</v>
      </c>
    </row>
    <row r="335" spans="1:5" x14ac:dyDescent="0.3">
      <c r="A335" t="s">
        <v>342</v>
      </c>
      <c r="D335">
        <v>20</v>
      </c>
    </row>
    <row r="336" spans="1:5" x14ac:dyDescent="0.3">
      <c r="A336" t="s">
        <v>343</v>
      </c>
      <c r="D336">
        <v>15</v>
      </c>
    </row>
    <row r="337" spans="1:5" x14ac:dyDescent="0.3">
      <c r="A337" t="s">
        <v>344</v>
      </c>
      <c r="D337">
        <v>8</v>
      </c>
      <c r="E337">
        <v>3</v>
      </c>
    </row>
    <row r="338" spans="1:5" x14ac:dyDescent="0.3">
      <c r="A338" t="s">
        <v>345</v>
      </c>
      <c r="D338">
        <v>35</v>
      </c>
      <c r="E338">
        <v>1</v>
      </c>
    </row>
    <row r="339" spans="1:5" x14ac:dyDescent="0.3">
      <c r="A339" t="s">
        <v>346</v>
      </c>
      <c r="D339">
        <v>25</v>
      </c>
      <c r="E339">
        <v>4</v>
      </c>
    </row>
    <row r="340" spans="1:5" x14ac:dyDescent="0.3">
      <c r="A340" t="s">
        <v>347</v>
      </c>
      <c r="D340">
        <v>10</v>
      </c>
      <c r="E340">
        <v>5</v>
      </c>
    </row>
    <row r="341" spans="1:5" x14ac:dyDescent="0.3">
      <c r="A341" t="s">
        <v>348</v>
      </c>
      <c r="D341">
        <v>50</v>
      </c>
    </row>
    <row r="342" spans="1:5" x14ac:dyDescent="0.3">
      <c r="A342" t="s">
        <v>349</v>
      </c>
      <c r="D342">
        <v>35</v>
      </c>
      <c r="E342">
        <v>1</v>
      </c>
    </row>
    <row r="343" spans="1:5" x14ac:dyDescent="0.3">
      <c r="A343" t="s">
        <v>350</v>
      </c>
      <c r="D343">
        <v>15</v>
      </c>
      <c r="E343">
        <v>33</v>
      </c>
    </row>
    <row r="344" spans="1:5" x14ac:dyDescent="0.3">
      <c r="A344" t="s">
        <v>351</v>
      </c>
      <c r="D344">
        <v>15</v>
      </c>
      <c r="E344">
        <v>6</v>
      </c>
    </row>
    <row r="345" spans="1:5" x14ac:dyDescent="0.3">
      <c r="A345" t="s">
        <v>352</v>
      </c>
      <c r="D345">
        <v>20</v>
      </c>
      <c r="E345">
        <v>14</v>
      </c>
    </row>
    <row r="346" spans="1:5" x14ac:dyDescent="0.3">
      <c r="A346" t="s">
        <v>895</v>
      </c>
      <c r="D346">
        <v>15</v>
      </c>
      <c r="E346">
        <v>8</v>
      </c>
    </row>
    <row r="347" spans="1:5" x14ac:dyDescent="0.3">
      <c r="A347" t="s">
        <v>896</v>
      </c>
      <c r="D347">
        <v>15</v>
      </c>
    </row>
    <row r="348" spans="1:5" x14ac:dyDescent="0.3">
      <c r="A348" t="s">
        <v>894</v>
      </c>
      <c r="D348">
        <v>15</v>
      </c>
      <c r="E348">
        <v>1</v>
      </c>
    </row>
    <row r="349" spans="1:5" x14ac:dyDescent="0.3">
      <c r="A349" t="s">
        <v>353</v>
      </c>
      <c r="D349">
        <v>20</v>
      </c>
    </row>
    <row r="350" spans="1:5" x14ac:dyDescent="0.3">
      <c r="A350" t="s">
        <v>354</v>
      </c>
      <c r="D350">
        <v>15</v>
      </c>
    </row>
    <row r="351" spans="1:5" x14ac:dyDescent="0.3">
      <c r="A351" t="s">
        <v>355</v>
      </c>
    </row>
    <row r="352" spans="1:5" x14ac:dyDescent="0.3">
      <c r="A352" t="s">
        <v>356</v>
      </c>
      <c r="D352">
        <v>15</v>
      </c>
    </row>
    <row r="353" spans="1:5" x14ac:dyDescent="0.3">
      <c r="A353" t="s">
        <v>357</v>
      </c>
      <c r="D353">
        <v>20</v>
      </c>
      <c r="E353">
        <v>1</v>
      </c>
    </row>
    <row r="354" spans="1:5" x14ac:dyDescent="0.3">
      <c r="A354" t="s">
        <v>893</v>
      </c>
      <c r="D354">
        <v>90</v>
      </c>
    </row>
    <row r="355" spans="1:5" x14ac:dyDescent="0.3">
      <c r="A355" t="s">
        <v>892</v>
      </c>
      <c r="D355">
        <v>15</v>
      </c>
      <c r="E355">
        <v>2</v>
      </c>
    </row>
    <row r="356" spans="1:5" x14ac:dyDescent="0.3">
      <c r="A356" t="s">
        <v>891</v>
      </c>
      <c r="D356">
        <v>40</v>
      </c>
      <c r="E356">
        <v>1</v>
      </c>
    </row>
    <row r="357" spans="1:5" x14ac:dyDescent="0.3">
      <c r="A357" t="s">
        <v>358</v>
      </c>
      <c r="D357">
        <v>25</v>
      </c>
      <c r="E357">
        <v>3</v>
      </c>
    </row>
    <row r="358" spans="1:5" x14ac:dyDescent="0.3">
      <c r="A358" t="s">
        <v>359</v>
      </c>
      <c r="D358">
        <v>15</v>
      </c>
      <c r="E358">
        <v>2</v>
      </c>
    </row>
    <row r="359" spans="1:5" x14ac:dyDescent="0.3">
      <c r="A359" t="s">
        <v>890</v>
      </c>
      <c r="D359">
        <v>7</v>
      </c>
      <c r="E359">
        <v>8</v>
      </c>
    </row>
    <row r="360" spans="1:5" x14ac:dyDescent="0.3">
      <c r="A360" t="s">
        <v>889</v>
      </c>
      <c r="D360">
        <v>18</v>
      </c>
      <c r="E360">
        <v>1</v>
      </c>
    </row>
    <row r="361" spans="1:5" x14ac:dyDescent="0.3">
      <c r="A361" t="s">
        <v>360</v>
      </c>
      <c r="D361">
        <v>15</v>
      </c>
      <c r="E361">
        <v>3</v>
      </c>
    </row>
    <row r="362" spans="1:5" x14ac:dyDescent="0.3">
      <c r="A362" t="s">
        <v>919</v>
      </c>
      <c r="D362">
        <v>50</v>
      </c>
      <c r="E362">
        <v>1</v>
      </c>
    </row>
    <row r="363" spans="1:5" x14ac:dyDescent="0.3">
      <c r="A363" t="s">
        <v>888</v>
      </c>
      <c r="D363">
        <v>30</v>
      </c>
    </row>
    <row r="364" spans="1:5" x14ac:dyDescent="0.3">
      <c r="A364" t="s">
        <v>887</v>
      </c>
    </row>
    <row r="365" spans="1:5" x14ac:dyDescent="0.3">
      <c r="A365" t="s">
        <v>361</v>
      </c>
      <c r="D365">
        <v>20</v>
      </c>
    </row>
    <row r="366" spans="1:5" x14ac:dyDescent="0.3">
      <c r="A366" t="s">
        <v>886</v>
      </c>
      <c r="D366">
        <v>6</v>
      </c>
      <c r="E366">
        <v>3</v>
      </c>
    </row>
    <row r="367" spans="1:5" x14ac:dyDescent="0.3">
      <c r="A367" t="s">
        <v>362</v>
      </c>
      <c r="D367">
        <v>10</v>
      </c>
      <c r="E367">
        <v>1</v>
      </c>
    </row>
    <row r="368" spans="1:5" x14ac:dyDescent="0.3">
      <c r="A368" t="s">
        <v>885</v>
      </c>
      <c r="D368">
        <v>25</v>
      </c>
      <c r="E368">
        <v>3</v>
      </c>
    </row>
    <row r="369" spans="1:5" x14ac:dyDescent="0.3">
      <c r="A369" t="s">
        <v>363</v>
      </c>
      <c r="D369">
        <v>15</v>
      </c>
      <c r="E369">
        <v>1</v>
      </c>
    </row>
    <row r="370" spans="1:5" x14ac:dyDescent="0.3">
      <c r="A370" t="s">
        <v>364</v>
      </c>
      <c r="D370">
        <v>8</v>
      </c>
    </row>
    <row r="371" spans="1:5" x14ac:dyDescent="0.3">
      <c r="A371" t="s">
        <v>365</v>
      </c>
      <c r="D371">
        <v>3</v>
      </c>
      <c r="E371">
        <v>3</v>
      </c>
    </row>
    <row r="372" spans="1:5" x14ac:dyDescent="0.3">
      <c r="A372" t="s">
        <v>366</v>
      </c>
      <c r="D372">
        <v>30</v>
      </c>
    </row>
    <row r="373" spans="1:5" x14ac:dyDescent="0.3">
      <c r="A373" t="s">
        <v>799</v>
      </c>
      <c r="D373">
        <v>20</v>
      </c>
      <c r="E373">
        <v>2</v>
      </c>
    </row>
    <row r="374" spans="1:5" x14ac:dyDescent="0.3">
      <c r="A374" t="s">
        <v>884</v>
      </c>
      <c r="D374">
        <v>20</v>
      </c>
      <c r="E374">
        <v>1</v>
      </c>
    </row>
    <row r="375" spans="1:5" x14ac:dyDescent="0.3">
      <c r="A375" t="s">
        <v>367</v>
      </c>
      <c r="D375">
        <v>10</v>
      </c>
      <c r="E375">
        <v>3</v>
      </c>
    </row>
    <row r="376" spans="1:5" x14ac:dyDescent="0.3">
      <c r="A376" t="s">
        <v>368</v>
      </c>
      <c r="D376">
        <v>15</v>
      </c>
      <c r="E376">
        <v>1</v>
      </c>
    </row>
    <row r="377" spans="1:5" x14ac:dyDescent="0.3">
      <c r="A377" t="s">
        <v>369</v>
      </c>
      <c r="D377">
        <v>20</v>
      </c>
      <c r="E377">
        <v>3</v>
      </c>
    </row>
    <row r="378" spans="1:5" x14ac:dyDescent="0.3">
      <c r="A378" t="s">
        <v>370</v>
      </c>
      <c r="D378">
        <v>15</v>
      </c>
      <c r="E378">
        <v>2</v>
      </c>
    </row>
    <row r="379" spans="1:5" x14ac:dyDescent="0.3">
      <c r="A379" t="s">
        <v>371</v>
      </c>
      <c r="D379">
        <v>10</v>
      </c>
    </row>
    <row r="380" spans="1:5" x14ac:dyDescent="0.3">
      <c r="A380" t="s">
        <v>372</v>
      </c>
      <c r="D380">
        <v>15</v>
      </c>
      <c r="E380">
        <v>1</v>
      </c>
    </row>
    <row r="381" spans="1:5" x14ac:dyDescent="0.3">
      <c r="A381" t="s">
        <v>373</v>
      </c>
      <c r="D381">
        <v>25</v>
      </c>
      <c r="E381">
        <v>1</v>
      </c>
    </row>
    <row r="382" spans="1:5" x14ac:dyDescent="0.3">
      <c r="A382" t="s">
        <v>374</v>
      </c>
      <c r="D382">
        <v>15</v>
      </c>
      <c r="E382">
        <v>1</v>
      </c>
    </row>
    <row r="383" spans="1:5" x14ac:dyDescent="0.3">
      <c r="A383" t="s">
        <v>375</v>
      </c>
      <c r="D383">
        <v>10</v>
      </c>
    </row>
    <row r="384" spans="1:5" x14ac:dyDescent="0.3">
      <c r="A384" t="s">
        <v>376</v>
      </c>
      <c r="D384">
        <v>70</v>
      </c>
      <c r="E384">
        <v>1</v>
      </c>
    </row>
    <row r="385" spans="1:5" x14ac:dyDescent="0.3">
      <c r="A385" t="s">
        <v>377</v>
      </c>
      <c r="D385">
        <v>45</v>
      </c>
      <c r="E385">
        <v>1</v>
      </c>
    </row>
    <row r="386" spans="1:5" x14ac:dyDescent="0.3">
      <c r="A386" t="s">
        <v>378</v>
      </c>
      <c r="D386">
        <v>12</v>
      </c>
      <c r="E386">
        <v>11</v>
      </c>
    </row>
    <row r="387" spans="1:5" x14ac:dyDescent="0.3">
      <c r="A387" t="s">
        <v>379</v>
      </c>
      <c r="D387">
        <v>50</v>
      </c>
      <c r="E387">
        <v>2</v>
      </c>
    </row>
    <row r="388" spans="1:5" x14ac:dyDescent="0.3">
      <c r="A388" t="s">
        <v>380</v>
      </c>
      <c r="D388">
        <v>25</v>
      </c>
      <c r="E388">
        <v>9</v>
      </c>
    </row>
    <row r="389" spans="1:5" x14ac:dyDescent="0.3">
      <c r="A389" t="s">
        <v>381</v>
      </c>
      <c r="D389">
        <v>15</v>
      </c>
    </row>
    <row r="390" spans="1:5" x14ac:dyDescent="0.3">
      <c r="A390" t="s">
        <v>382</v>
      </c>
      <c r="D390">
        <v>30</v>
      </c>
      <c r="E390">
        <v>2</v>
      </c>
    </row>
    <row r="391" spans="1:5" x14ac:dyDescent="0.3">
      <c r="A391" t="s">
        <v>383</v>
      </c>
      <c r="D391">
        <v>20</v>
      </c>
      <c r="E391">
        <v>3</v>
      </c>
    </row>
    <row r="392" spans="1:5" x14ac:dyDescent="0.3">
      <c r="A392" t="s">
        <v>384</v>
      </c>
      <c r="D392">
        <v>10</v>
      </c>
      <c r="E392">
        <v>1</v>
      </c>
    </row>
    <row r="393" spans="1:5" x14ac:dyDescent="0.3">
      <c r="A393" t="s">
        <v>385</v>
      </c>
      <c r="D393">
        <v>5</v>
      </c>
      <c r="E393">
        <v>3</v>
      </c>
    </row>
    <row r="394" spans="1:5" x14ac:dyDescent="0.3">
      <c r="A394" t="s">
        <v>386</v>
      </c>
      <c r="D394">
        <v>30</v>
      </c>
      <c r="E394">
        <v>3</v>
      </c>
    </row>
    <row r="395" spans="1:5" x14ac:dyDescent="0.3">
      <c r="A395" t="s">
        <v>387</v>
      </c>
      <c r="D395">
        <v>20</v>
      </c>
      <c r="E395">
        <v>6</v>
      </c>
    </row>
    <row r="396" spans="1:5" x14ac:dyDescent="0.3">
      <c r="A396" t="s">
        <v>388</v>
      </c>
      <c r="D396">
        <v>12</v>
      </c>
      <c r="E396">
        <v>9</v>
      </c>
    </row>
    <row r="397" spans="1:5" x14ac:dyDescent="0.3">
      <c r="A397" t="s">
        <v>389</v>
      </c>
      <c r="D397">
        <v>25</v>
      </c>
      <c r="E397">
        <v>1</v>
      </c>
    </row>
    <row r="398" spans="1:5" x14ac:dyDescent="0.3">
      <c r="A398" t="s">
        <v>390</v>
      </c>
      <c r="D398">
        <v>18</v>
      </c>
      <c r="E398">
        <v>1</v>
      </c>
    </row>
    <row r="399" spans="1:5" x14ac:dyDescent="0.3">
      <c r="A399" t="s">
        <v>391</v>
      </c>
      <c r="D399">
        <v>10</v>
      </c>
      <c r="E399">
        <v>4</v>
      </c>
    </row>
    <row r="400" spans="1:5" x14ac:dyDescent="0.3">
      <c r="A400" t="s">
        <v>392</v>
      </c>
      <c r="D400">
        <v>70</v>
      </c>
      <c r="E400">
        <v>1</v>
      </c>
    </row>
    <row r="401" spans="1:5" x14ac:dyDescent="0.3">
      <c r="A401" t="s">
        <v>393</v>
      </c>
      <c r="D401">
        <v>50</v>
      </c>
    </row>
    <row r="402" spans="1:5" x14ac:dyDescent="0.3">
      <c r="A402" t="s">
        <v>883</v>
      </c>
      <c r="D402">
        <v>15</v>
      </c>
      <c r="E402">
        <v>3</v>
      </c>
    </row>
    <row r="403" spans="1:5" x14ac:dyDescent="0.3">
      <c r="A403" t="s">
        <v>394</v>
      </c>
      <c r="D403">
        <v>15</v>
      </c>
    </row>
    <row r="404" spans="1:5" x14ac:dyDescent="0.3">
      <c r="A404" t="s">
        <v>395</v>
      </c>
      <c r="D404">
        <v>10</v>
      </c>
      <c r="E404">
        <v>2</v>
      </c>
    </row>
    <row r="405" spans="1:5" x14ac:dyDescent="0.3">
      <c r="A405" t="s">
        <v>396</v>
      </c>
      <c r="D405">
        <v>15</v>
      </c>
      <c r="E405">
        <v>1</v>
      </c>
    </row>
    <row r="406" spans="1:5" x14ac:dyDescent="0.3">
      <c r="A406" t="s">
        <v>882</v>
      </c>
      <c r="D406">
        <v>25</v>
      </c>
      <c r="E406">
        <v>6</v>
      </c>
    </row>
    <row r="407" spans="1:5" x14ac:dyDescent="0.3">
      <c r="A407" t="s">
        <v>881</v>
      </c>
      <c r="D407">
        <v>15</v>
      </c>
      <c r="E407">
        <v>4</v>
      </c>
    </row>
    <row r="408" spans="1:5" x14ac:dyDescent="0.3">
      <c r="A408" t="s">
        <v>880</v>
      </c>
      <c r="D408">
        <v>15</v>
      </c>
      <c r="E408">
        <v>5</v>
      </c>
    </row>
    <row r="409" spans="1:5" x14ac:dyDescent="0.3">
      <c r="A409" t="s">
        <v>397</v>
      </c>
      <c r="D409">
        <v>15</v>
      </c>
      <c r="E409">
        <v>5</v>
      </c>
    </row>
    <row r="410" spans="1:5" x14ac:dyDescent="0.3">
      <c r="A410" t="s">
        <v>879</v>
      </c>
      <c r="D410">
        <v>35</v>
      </c>
      <c r="E410">
        <v>2</v>
      </c>
    </row>
    <row r="411" spans="1:5" x14ac:dyDescent="0.3">
      <c r="A411" t="s">
        <v>398</v>
      </c>
      <c r="D411">
        <v>18</v>
      </c>
      <c r="E411">
        <v>5</v>
      </c>
    </row>
    <row r="412" spans="1:5" x14ac:dyDescent="0.3">
      <c r="A412" t="s">
        <v>399</v>
      </c>
      <c r="D412">
        <v>15</v>
      </c>
      <c r="E412">
        <v>5</v>
      </c>
    </row>
    <row r="413" spans="1:5" x14ac:dyDescent="0.3">
      <c r="A413" t="s">
        <v>400</v>
      </c>
      <c r="D413">
        <v>40</v>
      </c>
      <c r="E413">
        <v>3</v>
      </c>
    </row>
    <row r="414" spans="1:5" x14ac:dyDescent="0.3">
      <c r="A414" t="s">
        <v>401</v>
      </c>
      <c r="D414">
        <v>10</v>
      </c>
      <c r="E414">
        <v>11</v>
      </c>
    </row>
    <row r="415" spans="1:5" x14ac:dyDescent="0.3">
      <c r="A415" t="s">
        <v>402</v>
      </c>
      <c r="D415">
        <v>50</v>
      </c>
      <c r="E415">
        <v>1</v>
      </c>
    </row>
    <row r="416" spans="1:5" x14ac:dyDescent="0.3">
      <c r="A416" t="s">
        <v>403</v>
      </c>
      <c r="D416">
        <v>35</v>
      </c>
      <c r="E416">
        <v>1</v>
      </c>
    </row>
    <row r="417" spans="1:5" x14ac:dyDescent="0.3">
      <c r="A417" t="s">
        <v>404</v>
      </c>
      <c r="D417">
        <v>25</v>
      </c>
    </row>
    <row r="418" spans="1:5" x14ac:dyDescent="0.3">
      <c r="A418" t="s">
        <v>405</v>
      </c>
      <c r="D418">
        <v>25</v>
      </c>
      <c r="E418">
        <v>3</v>
      </c>
    </row>
    <row r="419" spans="1:5" x14ac:dyDescent="0.3">
      <c r="A419" t="s">
        <v>406</v>
      </c>
      <c r="D419">
        <v>15</v>
      </c>
      <c r="E419">
        <v>3</v>
      </c>
    </row>
    <row r="420" spans="1:5" x14ac:dyDescent="0.3">
      <c r="A420" t="s">
        <v>407</v>
      </c>
      <c r="D420">
        <v>40</v>
      </c>
      <c r="E420">
        <v>1</v>
      </c>
    </row>
    <row r="421" spans="1:5" x14ac:dyDescent="0.3">
      <c r="A421" t="s">
        <v>408</v>
      </c>
      <c r="D421">
        <v>15</v>
      </c>
      <c r="E421">
        <v>1</v>
      </c>
    </row>
    <row r="422" spans="1:5" x14ac:dyDescent="0.3">
      <c r="A422" t="s">
        <v>409</v>
      </c>
    </row>
    <row r="423" spans="1:5" x14ac:dyDescent="0.3">
      <c r="A423" t="s">
        <v>410</v>
      </c>
      <c r="D423">
        <v>15</v>
      </c>
      <c r="E423">
        <v>2</v>
      </c>
    </row>
    <row r="424" spans="1:5" x14ac:dyDescent="0.3">
      <c r="A424" t="s">
        <v>411</v>
      </c>
      <c r="D424">
        <v>50</v>
      </c>
      <c r="E424">
        <v>1</v>
      </c>
    </row>
    <row r="425" spans="1:5" x14ac:dyDescent="0.3">
      <c r="A425" t="s">
        <v>412</v>
      </c>
      <c r="D425">
        <v>35</v>
      </c>
      <c r="E425">
        <v>1</v>
      </c>
    </row>
    <row r="426" spans="1:5" x14ac:dyDescent="0.3">
      <c r="A426" t="s">
        <v>878</v>
      </c>
      <c r="D426">
        <v>30</v>
      </c>
      <c r="E426">
        <v>3</v>
      </c>
    </row>
    <row r="427" spans="1:5" x14ac:dyDescent="0.3">
      <c r="A427" t="s">
        <v>414</v>
      </c>
      <c r="D427">
        <v>20</v>
      </c>
      <c r="E427">
        <v>6</v>
      </c>
    </row>
    <row r="428" spans="1:5" x14ac:dyDescent="0.3">
      <c r="A428" t="s">
        <v>415</v>
      </c>
      <c r="D428">
        <v>35</v>
      </c>
    </row>
    <row r="429" spans="1:5" x14ac:dyDescent="0.3">
      <c r="A429" t="s">
        <v>416</v>
      </c>
      <c r="D429">
        <v>18</v>
      </c>
      <c r="E429">
        <v>4</v>
      </c>
    </row>
    <row r="430" spans="1:5" x14ac:dyDescent="0.3">
      <c r="A430" t="s">
        <v>417</v>
      </c>
      <c r="D430">
        <v>18</v>
      </c>
      <c r="E430">
        <v>4</v>
      </c>
    </row>
    <row r="431" spans="1:5" x14ac:dyDescent="0.3">
      <c r="A431" t="s">
        <v>413</v>
      </c>
      <c r="D431">
        <v>20</v>
      </c>
      <c r="E431">
        <v>2</v>
      </c>
    </row>
    <row r="432" spans="1:5" x14ac:dyDescent="0.3">
      <c r="A432" t="s">
        <v>418</v>
      </c>
      <c r="D432">
        <v>20</v>
      </c>
      <c r="E432">
        <v>2</v>
      </c>
    </row>
    <row r="433" spans="1:5" x14ac:dyDescent="0.3">
      <c r="A433" t="s">
        <v>419</v>
      </c>
      <c r="D433">
        <v>70</v>
      </c>
      <c r="E433">
        <v>1</v>
      </c>
    </row>
    <row r="434" spans="1:5" x14ac:dyDescent="0.3">
      <c r="A434" t="s">
        <v>877</v>
      </c>
      <c r="D434">
        <v>30</v>
      </c>
      <c r="E434">
        <v>3</v>
      </c>
    </row>
    <row r="435" spans="1:5" x14ac:dyDescent="0.3">
      <c r="A435" t="s">
        <v>420</v>
      </c>
      <c r="D435">
        <v>60</v>
      </c>
      <c r="E435">
        <v>1</v>
      </c>
    </row>
    <row r="436" spans="1:5" x14ac:dyDescent="0.3">
      <c r="A436" t="s">
        <v>876</v>
      </c>
      <c r="D436">
        <v>40</v>
      </c>
    </row>
    <row r="437" spans="1:5" x14ac:dyDescent="0.3">
      <c r="A437" t="s">
        <v>421</v>
      </c>
      <c r="D437">
        <v>50</v>
      </c>
    </row>
    <row r="438" spans="1:5" x14ac:dyDescent="0.3">
      <c r="A438" t="s">
        <v>422</v>
      </c>
      <c r="D438">
        <v>50</v>
      </c>
      <c r="E438">
        <v>1</v>
      </c>
    </row>
    <row r="439" spans="1:5" x14ac:dyDescent="0.3">
      <c r="A439" t="s">
        <v>423</v>
      </c>
      <c r="D439">
        <v>45</v>
      </c>
      <c r="E439">
        <v>2</v>
      </c>
    </row>
    <row r="440" spans="1:5" x14ac:dyDescent="0.3">
      <c r="A440" t="s">
        <v>424</v>
      </c>
      <c r="D440">
        <v>40</v>
      </c>
      <c r="E440">
        <v>1</v>
      </c>
    </row>
    <row r="441" spans="1:5" x14ac:dyDescent="0.3">
      <c r="A441" t="s">
        <v>425</v>
      </c>
      <c r="D441">
        <v>45</v>
      </c>
      <c r="E441">
        <v>1</v>
      </c>
    </row>
    <row r="442" spans="1:5" x14ac:dyDescent="0.3">
      <c r="A442" t="s">
        <v>426</v>
      </c>
      <c r="D442">
        <v>20</v>
      </c>
      <c r="E442">
        <v>2</v>
      </c>
    </row>
    <row r="443" spans="1:5" x14ac:dyDescent="0.3">
      <c r="A443" t="s">
        <v>427</v>
      </c>
      <c r="D443">
        <v>80</v>
      </c>
      <c r="E443">
        <v>1</v>
      </c>
    </row>
    <row r="444" spans="1:5" x14ac:dyDescent="0.3">
      <c r="A444" t="s">
        <v>428</v>
      </c>
    </row>
    <row r="445" spans="1:5" x14ac:dyDescent="0.3">
      <c r="A445" t="s">
        <v>429</v>
      </c>
      <c r="D445">
        <v>45</v>
      </c>
      <c r="E445">
        <v>1</v>
      </c>
    </row>
    <row r="446" spans="1:5" x14ac:dyDescent="0.3">
      <c r="A446" t="s">
        <v>430</v>
      </c>
      <c r="D446">
        <v>70</v>
      </c>
      <c r="E446">
        <v>1</v>
      </c>
    </row>
    <row r="447" spans="1:5" x14ac:dyDescent="0.3">
      <c r="A447" t="s">
        <v>431</v>
      </c>
      <c r="D447">
        <v>35</v>
      </c>
      <c r="E447">
        <v>1</v>
      </c>
    </row>
    <row r="448" spans="1:5" x14ac:dyDescent="0.3">
      <c r="A448" t="s">
        <v>432</v>
      </c>
      <c r="D448">
        <v>65</v>
      </c>
      <c r="E448">
        <v>13</v>
      </c>
    </row>
    <row r="449" spans="1:5" x14ac:dyDescent="0.3">
      <c r="A449" t="s">
        <v>433</v>
      </c>
      <c r="D449">
        <v>30</v>
      </c>
      <c r="E449">
        <v>11</v>
      </c>
    </row>
    <row r="450" spans="1:5" x14ac:dyDescent="0.3">
      <c r="A450" t="s">
        <v>434</v>
      </c>
      <c r="D450">
        <v>60</v>
      </c>
      <c r="E450">
        <v>1</v>
      </c>
    </row>
    <row r="451" spans="1:5" x14ac:dyDescent="0.3">
      <c r="A451" t="s">
        <v>435</v>
      </c>
      <c r="D451">
        <v>60</v>
      </c>
      <c r="E451">
        <v>1</v>
      </c>
    </row>
    <row r="452" spans="1:5" x14ac:dyDescent="0.3">
      <c r="A452" t="s">
        <v>436</v>
      </c>
      <c r="D452">
        <v>35</v>
      </c>
      <c r="E452">
        <v>2</v>
      </c>
    </row>
    <row r="453" spans="1:5" x14ac:dyDescent="0.3">
      <c r="A453" t="s">
        <v>437</v>
      </c>
      <c r="D453">
        <v>15</v>
      </c>
      <c r="E453">
        <v>4</v>
      </c>
    </row>
    <row r="454" spans="1:5" x14ac:dyDescent="0.3">
      <c r="A454" t="s">
        <v>438</v>
      </c>
      <c r="D454">
        <v>15</v>
      </c>
      <c r="E454">
        <v>7</v>
      </c>
    </row>
    <row r="455" spans="1:5" x14ac:dyDescent="0.3">
      <c r="A455" t="s">
        <v>439</v>
      </c>
      <c r="D455">
        <v>100</v>
      </c>
    </row>
    <row r="456" spans="1:5" x14ac:dyDescent="0.3">
      <c r="A456" t="s">
        <v>440</v>
      </c>
      <c r="D456">
        <v>5</v>
      </c>
      <c r="E456">
        <v>3</v>
      </c>
    </row>
    <row r="457" spans="1:5" x14ac:dyDescent="0.3">
      <c r="A457" t="s">
        <v>441</v>
      </c>
      <c r="D457">
        <v>3</v>
      </c>
      <c r="E457">
        <v>5</v>
      </c>
    </row>
    <row r="458" spans="1:5" x14ac:dyDescent="0.3">
      <c r="A458" t="s">
        <v>442</v>
      </c>
      <c r="D458">
        <v>100</v>
      </c>
      <c r="E458">
        <v>1</v>
      </c>
    </row>
    <row r="459" spans="1:5" x14ac:dyDescent="0.3">
      <c r="A459" t="s">
        <v>443</v>
      </c>
      <c r="D459">
        <v>60</v>
      </c>
      <c r="E459">
        <v>2</v>
      </c>
    </row>
    <row r="460" spans="1:5" x14ac:dyDescent="0.3">
      <c r="A460" t="s">
        <v>875</v>
      </c>
      <c r="D460">
        <v>10</v>
      </c>
      <c r="E460">
        <v>4</v>
      </c>
    </row>
    <row r="461" spans="1:5" x14ac:dyDescent="0.3">
      <c r="A461" t="s">
        <v>444</v>
      </c>
      <c r="D461">
        <v>40</v>
      </c>
      <c r="E461">
        <v>1</v>
      </c>
    </row>
    <row r="462" spans="1:5" x14ac:dyDescent="0.3">
      <c r="A462" t="s">
        <v>445</v>
      </c>
      <c r="D462">
        <v>35</v>
      </c>
      <c r="E462">
        <v>2</v>
      </c>
    </row>
    <row r="463" spans="1:5" x14ac:dyDescent="0.3">
      <c r="A463" t="s">
        <v>446</v>
      </c>
      <c r="D463">
        <v>35</v>
      </c>
      <c r="E463">
        <v>1</v>
      </c>
    </row>
    <row r="464" spans="1:5" x14ac:dyDescent="0.3">
      <c r="A464" t="s">
        <v>874</v>
      </c>
      <c r="D464">
        <v>35</v>
      </c>
      <c r="E464">
        <v>1</v>
      </c>
    </row>
    <row r="465" spans="1:5" x14ac:dyDescent="0.3">
      <c r="A465" t="s">
        <v>447</v>
      </c>
      <c r="D465">
        <v>45</v>
      </c>
      <c r="E465">
        <v>3</v>
      </c>
    </row>
    <row r="466" spans="1:5" x14ac:dyDescent="0.3">
      <c r="A466" t="s">
        <v>448</v>
      </c>
      <c r="D466">
        <v>50</v>
      </c>
      <c r="E466">
        <v>1</v>
      </c>
    </row>
    <row r="467" spans="1:5" x14ac:dyDescent="0.3">
      <c r="A467" t="s">
        <v>873</v>
      </c>
      <c r="D467">
        <v>15</v>
      </c>
    </row>
    <row r="468" spans="1:5" x14ac:dyDescent="0.3">
      <c r="A468" t="s">
        <v>449</v>
      </c>
      <c r="D468">
        <v>35</v>
      </c>
      <c r="E468">
        <v>1</v>
      </c>
    </row>
    <row r="469" spans="1:5" x14ac:dyDescent="0.3">
      <c r="A469" t="s">
        <v>450</v>
      </c>
      <c r="D469">
        <v>40</v>
      </c>
      <c r="E469">
        <v>1</v>
      </c>
    </row>
    <row r="470" spans="1:5" x14ac:dyDescent="0.3">
      <c r="A470" t="s">
        <v>451</v>
      </c>
      <c r="D470">
        <v>35</v>
      </c>
      <c r="E470">
        <v>1</v>
      </c>
    </row>
    <row r="471" spans="1:5" x14ac:dyDescent="0.3">
      <c r="A471" t="s">
        <v>452</v>
      </c>
      <c r="D471">
        <v>50</v>
      </c>
      <c r="E471">
        <v>1</v>
      </c>
    </row>
    <row r="472" spans="1:5" x14ac:dyDescent="0.3">
      <c r="A472" t="s">
        <v>453</v>
      </c>
      <c r="D472">
        <v>30</v>
      </c>
      <c r="E472">
        <v>1</v>
      </c>
    </row>
    <row r="473" spans="1:5" x14ac:dyDescent="0.3">
      <c r="A473" t="s">
        <v>454</v>
      </c>
      <c r="D473">
        <v>40</v>
      </c>
      <c r="E473">
        <v>4</v>
      </c>
    </row>
    <row r="474" spans="1:5" x14ac:dyDescent="0.3">
      <c r="A474" t="s">
        <v>455</v>
      </c>
      <c r="D474">
        <v>45</v>
      </c>
      <c r="E474">
        <v>3</v>
      </c>
    </row>
    <row r="475" spans="1:5" x14ac:dyDescent="0.3">
      <c r="A475" t="s">
        <v>920</v>
      </c>
      <c r="D475">
        <v>20</v>
      </c>
      <c r="E475">
        <v>1</v>
      </c>
    </row>
    <row r="476" spans="1:5" x14ac:dyDescent="0.3">
      <c r="A476" t="s">
        <v>456</v>
      </c>
      <c r="D476">
        <v>35</v>
      </c>
      <c r="E476">
        <v>1</v>
      </c>
    </row>
    <row r="477" spans="1:5" x14ac:dyDescent="0.3">
      <c r="A477" t="s">
        <v>457</v>
      </c>
      <c r="D477">
        <v>15</v>
      </c>
      <c r="E477">
        <v>3</v>
      </c>
    </row>
    <row r="478" spans="1:5" x14ac:dyDescent="0.3">
      <c r="A478" t="s">
        <v>458</v>
      </c>
      <c r="D478">
        <v>18</v>
      </c>
      <c r="E478">
        <v>1</v>
      </c>
    </row>
    <row r="479" spans="1:5" x14ac:dyDescent="0.3">
      <c r="A479" t="s">
        <v>459</v>
      </c>
      <c r="D479">
        <v>10</v>
      </c>
      <c r="E479">
        <v>3</v>
      </c>
    </row>
    <row r="480" spans="1:5" x14ac:dyDescent="0.3">
      <c r="A480" t="s">
        <v>460</v>
      </c>
      <c r="D480">
        <v>10</v>
      </c>
      <c r="E480">
        <v>2</v>
      </c>
    </row>
    <row r="481" spans="1:5" x14ac:dyDescent="0.3">
      <c r="A481" t="s">
        <v>872</v>
      </c>
      <c r="D481">
        <v>15</v>
      </c>
      <c r="E481">
        <v>2</v>
      </c>
    </row>
    <row r="482" spans="1:5" x14ac:dyDescent="0.3">
      <c r="A482" t="s">
        <v>461</v>
      </c>
      <c r="D482">
        <v>4</v>
      </c>
      <c r="E482">
        <v>27</v>
      </c>
    </row>
    <row r="483" spans="1:5" x14ac:dyDescent="0.3">
      <c r="A483" t="s">
        <v>462</v>
      </c>
      <c r="D483">
        <v>5</v>
      </c>
      <c r="E483">
        <v>8</v>
      </c>
    </row>
    <row r="484" spans="1:5" x14ac:dyDescent="0.3">
      <c r="A484" t="s">
        <v>463</v>
      </c>
      <c r="D484">
        <v>25</v>
      </c>
    </row>
    <row r="485" spans="1:5" x14ac:dyDescent="0.3">
      <c r="A485" t="s">
        <v>464</v>
      </c>
      <c r="D485">
        <v>100</v>
      </c>
      <c r="E485">
        <v>1</v>
      </c>
    </row>
    <row r="486" spans="1:5" x14ac:dyDescent="0.3">
      <c r="A486" t="s">
        <v>465</v>
      </c>
      <c r="D486">
        <v>42</v>
      </c>
      <c r="E486">
        <v>5</v>
      </c>
    </row>
    <row r="487" spans="1:5" x14ac:dyDescent="0.3">
      <c r="A487" t="s">
        <v>466</v>
      </c>
      <c r="D487">
        <v>15</v>
      </c>
      <c r="E487">
        <v>3</v>
      </c>
    </row>
    <row r="488" spans="1:5" x14ac:dyDescent="0.3">
      <c r="A488" t="s">
        <v>467</v>
      </c>
      <c r="D488">
        <v>25</v>
      </c>
      <c r="E488">
        <v>2</v>
      </c>
    </row>
    <row r="489" spans="1:5" x14ac:dyDescent="0.3">
      <c r="A489" t="s">
        <v>468</v>
      </c>
      <c r="D489">
        <v>15</v>
      </c>
      <c r="E489">
        <v>1</v>
      </c>
    </row>
    <row r="490" spans="1:5" x14ac:dyDescent="0.3">
      <c r="A490" t="s">
        <v>469</v>
      </c>
      <c r="D490">
        <v>25</v>
      </c>
    </row>
    <row r="491" spans="1:5" x14ac:dyDescent="0.3">
      <c r="A491" t="s">
        <v>470</v>
      </c>
      <c r="D491">
        <v>25</v>
      </c>
    </row>
    <row r="492" spans="1:5" x14ac:dyDescent="0.3">
      <c r="A492" t="s">
        <v>471</v>
      </c>
      <c r="D492">
        <v>35</v>
      </c>
      <c r="E492">
        <v>4</v>
      </c>
    </row>
    <row r="493" spans="1:5" x14ac:dyDescent="0.3">
      <c r="A493" t="s">
        <v>472</v>
      </c>
      <c r="D493">
        <v>7</v>
      </c>
      <c r="E493">
        <v>11</v>
      </c>
    </row>
    <row r="494" spans="1:5" x14ac:dyDescent="0.3">
      <c r="A494" t="s">
        <v>473</v>
      </c>
      <c r="D494">
        <v>55</v>
      </c>
      <c r="E494">
        <v>1</v>
      </c>
    </row>
    <row r="495" spans="1:5" x14ac:dyDescent="0.3">
      <c r="A495" t="s">
        <v>871</v>
      </c>
      <c r="D495">
        <v>45</v>
      </c>
      <c r="E495">
        <v>1</v>
      </c>
    </row>
    <row r="496" spans="1:5" x14ac:dyDescent="0.3">
      <c r="A496" t="s">
        <v>870</v>
      </c>
      <c r="D496">
        <v>25</v>
      </c>
    </row>
    <row r="497" spans="1:5" x14ac:dyDescent="0.3">
      <c r="A497" t="s">
        <v>869</v>
      </c>
      <c r="D497">
        <v>15</v>
      </c>
    </row>
    <row r="498" spans="1:5" x14ac:dyDescent="0.3">
      <c r="A498" t="s">
        <v>923</v>
      </c>
    </row>
    <row r="499" spans="1:5" x14ac:dyDescent="0.3">
      <c r="A499" t="s">
        <v>922</v>
      </c>
      <c r="D499">
        <v>25</v>
      </c>
      <c r="E499">
        <v>4</v>
      </c>
    </row>
    <row r="500" spans="1:5" x14ac:dyDescent="0.3">
      <c r="A500" t="s">
        <v>921</v>
      </c>
      <c r="D500">
        <v>40</v>
      </c>
      <c r="E500">
        <v>1</v>
      </c>
    </row>
    <row r="501" spans="1:5" x14ac:dyDescent="0.3">
      <c r="A501" t="s">
        <v>474</v>
      </c>
      <c r="D501">
        <v>50</v>
      </c>
      <c r="E501">
        <v>1</v>
      </c>
    </row>
    <row r="502" spans="1:5" x14ac:dyDescent="0.3">
      <c r="A502" t="s">
        <v>475</v>
      </c>
      <c r="D502">
        <v>10</v>
      </c>
      <c r="E502">
        <v>6</v>
      </c>
    </row>
    <row r="503" spans="1:5" x14ac:dyDescent="0.3">
      <c r="A503" t="s">
        <v>476</v>
      </c>
      <c r="D503">
        <v>45</v>
      </c>
      <c r="E503">
        <v>2</v>
      </c>
    </row>
    <row r="504" spans="1:5" x14ac:dyDescent="0.3">
      <c r="A504" t="s">
        <v>477</v>
      </c>
      <c r="D504">
        <v>25</v>
      </c>
      <c r="E504">
        <v>2</v>
      </c>
    </row>
    <row r="505" spans="1:5" x14ac:dyDescent="0.3">
      <c r="A505" t="s">
        <v>478</v>
      </c>
      <c r="D505">
        <v>15</v>
      </c>
      <c r="E505">
        <v>3</v>
      </c>
    </row>
    <row r="506" spans="1:5" x14ac:dyDescent="0.3">
      <c r="A506" t="s">
        <v>479</v>
      </c>
      <c r="D506">
        <v>45</v>
      </c>
    </row>
    <row r="507" spans="1:5" x14ac:dyDescent="0.3">
      <c r="A507" t="s">
        <v>480</v>
      </c>
      <c r="D507">
        <v>50</v>
      </c>
    </row>
    <row r="508" spans="1:5" x14ac:dyDescent="0.3">
      <c r="A508" t="s">
        <v>481</v>
      </c>
      <c r="D508">
        <v>20</v>
      </c>
      <c r="E508">
        <v>4</v>
      </c>
    </row>
    <row r="509" spans="1:5" x14ac:dyDescent="0.3">
      <c r="A509" t="s">
        <v>482</v>
      </c>
      <c r="D509">
        <v>20</v>
      </c>
      <c r="E509">
        <v>1</v>
      </c>
    </row>
    <row r="510" spans="1:5" x14ac:dyDescent="0.3">
      <c r="A510" t="s">
        <v>483</v>
      </c>
      <c r="D510">
        <v>25</v>
      </c>
    </row>
    <row r="511" spans="1:5" x14ac:dyDescent="0.3">
      <c r="A511" t="s">
        <v>484</v>
      </c>
      <c r="D511">
        <v>5</v>
      </c>
      <c r="E511">
        <v>3</v>
      </c>
    </row>
    <row r="512" spans="1:5" x14ac:dyDescent="0.3">
      <c r="A512" t="s">
        <v>485</v>
      </c>
      <c r="D512">
        <v>30</v>
      </c>
    </row>
    <row r="513" spans="1:5" x14ac:dyDescent="0.3">
      <c r="A513" t="s">
        <v>486</v>
      </c>
      <c r="D513">
        <v>5</v>
      </c>
      <c r="E513">
        <v>9</v>
      </c>
    </row>
    <row r="514" spans="1:5" x14ac:dyDescent="0.3">
      <c r="A514" t="s">
        <v>487</v>
      </c>
    </row>
    <row r="515" spans="1:5" x14ac:dyDescent="0.3">
      <c r="A515" t="s">
        <v>488</v>
      </c>
      <c r="D515">
        <v>45</v>
      </c>
      <c r="E515">
        <v>1</v>
      </c>
    </row>
    <row r="516" spans="1:5" x14ac:dyDescent="0.3">
      <c r="A516" t="s">
        <v>489</v>
      </c>
      <c r="D516">
        <v>25</v>
      </c>
    </row>
    <row r="517" spans="1:5" x14ac:dyDescent="0.3">
      <c r="A517" t="s">
        <v>490</v>
      </c>
      <c r="D517">
        <v>10</v>
      </c>
      <c r="E517">
        <v>3</v>
      </c>
    </row>
    <row r="518" spans="1:5" x14ac:dyDescent="0.3">
      <c r="A518" t="s">
        <v>491</v>
      </c>
      <c r="D518">
        <v>20</v>
      </c>
      <c r="E518">
        <v>3</v>
      </c>
    </row>
    <row r="519" spans="1:5" x14ac:dyDescent="0.3">
      <c r="A519" t="s">
        <v>492</v>
      </c>
      <c r="D519">
        <v>15</v>
      </c>
      <c r="E519">
        <v>2</v>
      </c>
    </row>
    <row r="520" spans="1:5" x14ac:dyDescent="0.3">
      <c r="A520" t="s">
        <v>493</v>
      </c>
      <c r="D520">
        <v>15</v>
      </c>
      <c r="E520">
        <v>3</v>
      </c>
    </row>
    <row r="521" spans="1:5" x14ac:dyDescent="0.3">
      <c r="A521" t="s">
        <v>494</v>
      </c>
      <c r="D521">
        <v>60</v>
      </c>
      <c r="E521">
        <v>1</v>
      </c>
    </row>
    <row r="522" spans="1:5" x14ac:dyDescent="0.3">
      <c r="A522" t="s">
        <v>495</v>
      </c>
      <c r="D522">
        <v>30</v>
      </c>
    </row>
    <row r="523" spans="1:5" x14ac:dyDescent="0.3">
      <c r="A523" t="s">
        <v>496</v>
      </c>
      <c r="D523">
        <v>15</v>
      </c>
      <c r="E523">
        <v>11</v>
      </c>
    </row>
    <row r="524" spans="1:5" x14ac:dyDescent="0.3">
      <c r="A524" t="s">
        <v>497</v>
      </c>
      <c r="D524">
        <v>15</v>
      </c>
      <c r="E524">
        <v>4</v>
      </c>
    </row>
    <row r="525" spans="1:5" x14ac:dyDescent="0.3">
      <c r="A525" t="s">
        <v>498</v>
      </c>
      <c r="D525">
        <v>10</v>
      </c>
      <c r="E525">
        <v>11</v>
      </c>
    </row>
    <row r="526" spans="1:5" x14ac:dyDescent="0.3">
      <c r="A526" t="s">
        <v>868</v>
      </c>
      <c r="D526">
        <v>15</v>
      </c>
      <c r="E526">
        <v>2</v>
      </c>
    </row>
    <row r="527" spans="1:5" x14ac:dyDescent="0.3">
      <c r="A527" t="s">
        <v>499</v>
      </c>
      <c r="D527">
        <v>10</v>
      </c>
      <c r="E527">
        <v>18</v>
      </c>
    </row>
    <row r="528" spans="1:5" x14ac:dyDescent="0.3">
      <c r="A528" t="s">
        <v>500</v>
      </c>
      <c r="D528">
        <v>75</v>
      </c>
      <c r="E528">
        <v>2</v>
      </c>
    </row>
    <row r="529" spans="1:5" x14ac:dyDescent="0.3">
      <c r="A529" t="s">
        <v>501</v>
      </c>
      <c r="D529">
        <v>45</v>
      </c>
      <c r="E529">
        <v>2</v>
      </c>
    </row>
    <row r="530" spans="1:5" x14ac:dyDescent="0.3">
      <c r="A530" t="s">
        <v>502</v>
      </c>
      <c r="D530">
        <v>40</v>
      </c>
    </row>
    <row r="531" spans="1:5" x14ac:dyDescent="0.3">
      <c r="A531" t="s">
        <v>503</v>
      </c>
      <c r="D531">
        <v>50</v>
      </c>
    </row>
    <row r="532" spans="1:5" x14ac:dyDescent="0.3">
      <c r="A532" t="s">
        <v>504</v>
      </c>
      <c r="D532">
        <v>25</v>
      </c>
    </row>
    <row r="533" spans="1:5" x14ac:dyDescent="0.3">
      <c r="A533" t="s">
        <v>505</v>
      </c>
      <c r="D533">
        <v>25</v>
      </c>
      <c r="E533">
        <v>2</v>
      </c>
    </row>
    <row r="534" spans="1:5" x14ac:dyDescent="0.3">
      <c r="A534" t="s">
        <v>506</v>
      </c>
      <c r="D534">
        <v>2.5</v>
      </c>
      <c r="E534">
        <v>76</v>
      </c>
    </row>
    <row r="535" spans="1:5" x14ac:dyDescent="0.3">
      <c r="A535" t="s">
        <v>507</v>
      </c>
      <c r="D535">
        <v>2.5</v>
      </c>
    </row>
    <row r="536" spans="1:5" x14ac:dyDescent="0.3">
      <c r="A536" t="s">
        <v>508</v>
      </c>
      <c r="D536">
        <v>3</v>
      </c>
      <c r="E536">
        <v>2</v>
      </c>
    </row>
    <row r="537" spans="1:5" x14ac:dyDescent="0.3">
      <c r="A537" t="s">
        <v>924</v>
      </c>
      <c r="D537">
        <v>5</v>
      </c>
    </row>
    <row r="538" spans="1:5" x14ac:dyDescent="0.3">
      <c r="A538" t="s">
        <v>925</v>
      </c>
      <c r="D538">
        <v>5</v>
      </c>
      <c r="E538">
        <v>5</v>
      </c>
    </row>
    <row r="539" spans="1:5" x14ac:dyDescent="0.3">
      <c r="A539" t="s">
        <v>509</v>
      </c>
      <c r="D539">
        <v>25</v>
      </c>
    </row>
    <row r="540" spans="1:5" x14ac:dyDescent="0.3">
      <c r="A540" t="s">
        <v>510</v>
      </c>
      <c r="D540">
        <v>10</v>
      </c>
      <c r="E540">
        <v>19</v>
      </c>
    </row>
    <row r="541" spans="1:5" x14ac:dyDescent="0.3">
      <c r="A541" t="s">
        <v>511</v>
      </c>
      <c r="D541">
        <v>35</v>
      </c>
    </row>
    <row r="542" spans="1:5" x14ac:dyDescent="0.3">
      <c r="A542" t="s">
        <v>512</v>
      </c>
      <c r="D542">
        <v>10</v>
      </c>
      <c r="E542">
        <v>1</v>
      </c>
    </row>
    <row r="543" spans="1:5" x14ac:dyDescent="0.3">
      <c r="A543" t="s">
        <v>513</v>
      </c>
      <c r="D543">
        <v>20</v>
      </c>
      <c r="E543">
        <v>5</v>
      </c>
    </row>
    <row r="544" spans="1:5" x14ac:dyDescent="0.3">
      <c r="A544" t="s">
        <v>514</v>
      </c>
      <c r="D544">
        <v>15</v>
      </c>
      <c r="E544">
        <v>12</v>
      </c>
    </row>
    <row r="545" spans="1:5" x14ac:dyDescent="0.3">
      <c r="A545" t="s">
        <v>515</v>
      </c>
      <c r="D545">
        <v>25</v>
      </c>
      <c r="E545">
        <v>2</v>
      </c>
    </row>
    <row r="546" spans="1:5" x14ac:dyDescent="0.3">
      <c r="A546" t="s">
        <v>516</v>
      </c>
      <c r="D546">
        <v>25</v>
      </c>
      <c r="E546">
        <v>2</v>
      </c>
    </row>
    <row r="547" spans="1:5" x14ac:dyDescent="0.3">
      <c r="A547" t="s">
        <v>517</v>
      </c>
      <c r="D547">
        <v>25</v>
      </c>
    </row>
    <row r="548" spans="1:5" x14ac:dyDescent="0.3">
      <c r="A548" t="s">
        <v>518</v>
      </c>
    </row>
    <row r="549" spans="1:5" x14ac:dyDescent="0.3">
      <c r="A549" t="s">
        <v>519</v>
      </c>
    </row>
    <row r="550" spans="1:5" x14ac:dyDescent="0.3">
      <c r="A550" t="s">
        <v>520</v>
      </c>
      <c r="D550">
        <v>5</v>
      </c>
      <c r="E550">
        <v>5</v>
      </c>
    </row>
    <row r="551" spans="1:5" x14ac:dyDescent="0.3">
      <c r="A551" t="s">
        <v>521</v>
      </c>
      <c r="D551">
        <v>15</v>
      </c>
      <c r="E551">
        <v>11</v>
      </c>
    </row>
    <row r="552" spans="1:5" x14ac:dyDescent="0.3">
      <c r="A552" t="s">
        <v>522</v>
      </c>
      <c r="D552">
        <v>8</v>
      </c>
      <c r="E552">
        <v>24</v>
      </c>
    </row>
    <row r="553" spans="1:5" x14ac:dyDescent="0.3">
      <c r="A553" t="s">
        <v>523</v>
      </c>
      <c r="D553">
        <v>30</v>
      </c>
      <c r="E553">
        <v>1</v>
      </c>
    </row>
    <row r="554" spans="1:5" x14ac:dyDescent="0.3">
      <c r="A554" t="s">
        <v>524</v>
      </c>
      <c r="D554">
        <v>15</v>
      </c>
      <c r="E554">
        <v>3</v>
      </c>
    </row>
    <row r="555" spans="1:5" x14ac:dyDescent="0.3">
      <c r="A555" t="s">
        <v>525</v>
      </c>
      <c r="D555">
        <v>18</v>
      </c>
    </row>
    <row r="556" spans="1:5" x14ac:dyDescent="0.3">
      <c r="A556" t="s">
        <v>526</v>
      </c>
      <c r="D556">
        <v>30</v>
      </c>
      <c r="E556">
        <v>5</v>
      </c>
    </row>
    <row r="557" spans="1:5" x14ac:dyDescent="0.3">
      <c r="A557" t="s">
        <v>527</v>
      </c>
      <c r="D557">
        <v>15</v>
      </c>
    </row>
    <row r="558" spans="1:5" x14ac:dyDescent="0.3">
      <c r="A558" t="s">
        <v>528</v>
      </c>
      <c r="D558">
        <v>5</v>
      </c>
      <c r="E558">
        <v>4</v>
      </c>
    </row>
    <row r="559" spans="1:5" x14ac:dyDescent="0.3">
      <c r="A559" t="s">
        <v>529</v>
      </c>
      <c r="D559">
        <v>30</v>
      </c>
      <c r="E559">
        <v>2</v>
      </c>
    </row>
    <row r="560" spans="1:5" x14ac:dyDescent="0.3">
      <c r="A560" t="s">
        <v>530</v>
      </c>
      <c r="D560">
        <v>20</v>
      </c>
      <c r="E560">
        <v>3</v>
      </c>
    </row>
    <row r="561" spans="1:5" x14ac:dyDescent="0.3">
      <c r="A561" t="s">
        <v>531</v>
      </c>
      <c r="D561">
        <v>70</v>
      </c>
    </row>
    <row r="562" spans="1:5" x14ac:dyDescent="0.3">
      <c r="A562" t="s">
        <v>532</v>
      </c>
      <c r="D562">
        <v>45</v>
      </c>
      <c r="E562">
        <v>5</v>
      </c>
    </row>
    <row r="563" spans="1:5" x14ac:dyDescent="0.3">
      <c r="A563" t="s">
        <v>533</v>
      </c>
      <c r="D563">
        <v>35</v>
      </c>
      <c r="E563">
        <v>4</v>
      </c>
    </row>
    <row r="564" spans="1:5" x14ac:dyDescent="0.3">
      <c r="A564" t="s">
        <v>534</v>
      </c>
      <c r="D564">
        <v>75</v>
      </c>
    </row>
    <row r="565" spans="1:5" x14ac:dyDescent="0.3">
      <c r="A565" t="s">
        <v>535</v>
      </c>
      <c r="D565">
        <v>45</v>
      </c>
      <c r="E565">
        <v>1</v>
      </c>
    </row>
    <row r="566" spans="1:5" x14ac:dyDescent="0.3">
      <c r="A566" t="s">
        <v>536</v>
      </c>
      <c r="D566">
        <v>35</v>
      </c>
      <c r="E566">
        <v>4</v>
      </c>
    </row>
    <row r="567" spans="1:5" x14ac:dyDescent="0.3">
      <c r="A567" t="s">
        <v>926</v>
      </c>
      <c r="D567">
        <v>30</v>
      </c>
      <c r="E567">
        <v>2</v>
      </c>
    </row>
    <row r="568" spans="1:5" x14ac:dyDescent="0.3">
      <c r="A568" t="s">
        <v>537</v>
      </c>
    </row>
    <row r="569" spans="1:5" x14ac:dyDescent="0.3">
      <c r="A569" t="s">
        <v>538</v>
      </c>
      <c r="D569">
        <v>40</v>
      </c>
    </row>
    <row r="570" spans="1:5" x14ac:dyDescent="0.3">
      <c r="A570" t="s">
        <v>539</v>
      </c>
    </row>
    <row r="571" spans="1:5" x14ac:dyDescent="0.3">
      <c r="A571" t="s">
        <v>540</v>
      </c>
    </row>
    <row r="572" spans="1:5" x14ac:dyDescent="0.3">
      <c r="A572" t="s">
        <v>541</v>
      </c>
    </row>
    <row r="573" spans="1:5" x14ac:dyDescent="0.3">
      <c r="A573" t="s">
        <v>542</v>
      </c>
      <c r="D573">
        <v>45</v>
      </c>
    </row>
    <row r="574" spans="1:5" x14ac:dyDescent="0.3">
      <c r="A574" t="s">
        <v>543</v>
      </c>
      <c r="D574">
        <v>15</v>
      </c>
    </row>
    <row r="575" spans="1:5" x14ac:dyDescent="0.3">
      <c r="A575" t="s">
        <v>544</v>
      </c>
      <c r="D575">
        <v>10</v>
      </c>
      <c r="E575">
        <v>2</v>
      </c>
    </row>
    <row r="576" spans="1:5" x14ac:dyDescent="0.3">
      <c r="A576" t="s">
        <v>545</v>
      </c>
      <c r="D576">
        <v>5</v>
      </c>
    </row>
    <row r="577" spans="1:5" x14ac:dyDescent="0.3">
      <c r="A577" t="s">
        <v>546</v>
      </c>
      <c r="D577">
        <v>5</v>
      </c>
      <c r="E577">
        <v>4</v>
      </c>
    </row>
    <row r="578" spans="1:5" x14ac:dyDescent="0.3">
      <c r="A578" t="s">
        <v>547</v>
      </c>
      <c r="D578">
        <v>8</v>
      </c>
      <c r="E578">
        <v>3</v>
      </c>
    </row>
    <row r="579" spans="1:5" x14ac:dyDescent="0.3">
      <c r="A579" t="s">
        <v>548</v>
      </c>
      <c r="D579">
        <v>10</v>
      </c>
      <c r="E579">
        <v>6</v>
      </c>
    </row>
    <row r="580" spans="1:5" x14ac:dyDescent="0.3">
      <c r="A580" t="s">
        <v>549</v>
      </c>
      <c r="D580">
        <v>10</v>
      </c>
      <c r="E580">
        <v>6</v>
      </c>
    </row>
    <row r="581" spans="1:5" x14ac:dyDescent="0.3">
      <c r="A581" t="s">
        <v>550</v>
      </c>
      <c r="D581">
        <v>15</v>
      </c>
      <c r="E581">
        <v>1</v>
      </c>
    </row>
    <row r="582" spans="1:5" x14ac:dyDescent="0.3">
      <c r="A582" t="s">
        <v>551</v>
      </c>
      <c r="D582">
        <v>15</v>
      </c>
      <c r="E582">
        <v>13</v>
      </c>
    </row>
    <row r="583" spans="1:5" x14ac:dyDescent="0.3">
      <c r="A583" t="s">
        <v>552</v>
      </c>
      <c r="D583">
        <v>10</v>
      </c>
      <c r="E583">
        <v>10</v>
      </c>
    </row>
    <row r="584" spans="1:5" x14ac:dyDescent="0.3">
      <c r="A584" t="s">
        <v>553</v>
      </c>
      <c r="D584">
        <v>60</v>
      </c>
    </row>
    <row r="585" spans="1:5" x14ac:dyDescent="0.3">
      <c r="A585" t="s">
        <v>554</v>
      </c>
      <c r="D585">
        <v>15</v>
      </c>
      <c r="E585">
        <v>1</v>
      </c>
    </row>
    <row r="586" spans="1:5" x14ac:dyDescent="0.3">
      <c r="A586" t="s">
        <v>555</v>
      </c>
      <c r="D586">
        <v>15</v>
      </c>
    </row>
    <row r="587" spans="1:5" x14ac:dyDescent="0.3">
      <c r="A587" t="s">
        <v>556</v>
      </c>
      <c r="D587">
        <v>15</v>
      </c>
      <c r="E587">
        <v>16</v>
      </c>
    </row>
    <row r="588" spans="1:5" x14ac:dyDescent="0.3">
      <c r="A588" t="s">
        <v>557</v>
      </c>
      <c r="D588">
        <v>15</v>
      </c>
      <c r="E588">
        <v>5</v>
      </c>
    </row>
    <row r="589" spans="1:5" x14ac:dyDescent="0.3">
      <c r="A589" t="s">
        <v>558</v>
      </c>
      <c r="D589">
        <v>25</v>
      </c>
      <c r="E589">
        <v>1</v>
      </c>
    </row>
    <row r="590" spans="1:5" x14ac:dyDescent="0.3">
      <c r="A590" t="s">
        <v>559</v>
      </c>
      <c r="D590">
        <v>25</v>
      </c>
      <c r="E590">
        <v>1</v>
      </c>
    </row>
    <row r="591" spans="1:5" x14ac:dyDescent="0.3">
      <c r="A591" t="s">
        <v>560</v>
      </c>
      <c r="D591">
        <v>15</v>
      </c>
      <c r="E591">
        <v>2</v>
      </c>
    </row>
    <row r="592" spans="1:5" x14ac:dyDescent="0.3">
      <c r="A592" t="s">
        <v>561</v>
      </c>
      <c r="D592">
        <v>15</v>
      </c>
      <c r="E592">
        <v>3</v>
      </c>
    </row>
    <row r="593" spans="1:5" x14ac:dyDescent="0.3">
      <c r="A593" t="s">
        <v>562</v>
      </c>
      <c r="D593">
        <v>10</v>
      </c>
      <c r="E593">
        <v>4</v>
      </c>
    </row>
    <row r="594" spans="1:5" x14ac:dyDescent="0.3">
      <c r="A594" t="s">
        <v>563</v>
      </c>
      <c r="D594">
        <v>15</v>
      </c>
      <c r="E594">
        <v>6</v>
      </c>
    </row>
    <row r="595" spans="1:5" x14ac:dyDescent="0.3">
      <c r="A595" t="s">
        <v>564</v>
      </c>
      <c r="D595">
        <v>15</v>
      </c>
      <c r="E595">
        <v>6</v>
      </c>
    </row>
    <row r="596" spans="1:5" x14ac:dyDescent="0.3">
      <c r="A596" t="s">
        <v>565</v>
      </c>
      <c r="D596">
        <v>15</v>
      </c>
      <c r="E596">
        <v>6</v>
      </c>
    </row>
    <row r="597" spans="1:5" x14ac:dyDescent="0.3">
      <c r="A597" t="s">
        <v>566</v>
      </c>
      <c r="D597">
        <v>15</v>
      </c>
      <c r="E597">
        <v>6</v>
      </c>
    </row>
    <row r="598" spans="1:5" x14ac:dyDescent="0.3">
      <c r="A598" t="s">
        <v>567</v>
      </c>
      <c r="D598">
        <v>15</v>
      </c>
      <c r="E598">
        <v>2</v>
      </c>
    </row>
    <row r="599" spans="1:5" x14ac:dyDescent="0.3">
      <c r="A599" t="s">
        <v>568</v>
      </c>
      <c r="D599">
        <v>15</v>
      </c>
      <c r="E599">
        <v>2</v>
      </c>
    </row>
    <row r="600" spans="1:5" x14ac:dyDescent="0.3">
      <c r="A600" t="s">
        <v>569</v>
      </c>
      <c r="D600">
        <v>15</v>
      </c>
      <c r="E600">
        <v>5</v>
      </c>
    </row>
    <row r="601" spans="1:5" x14ac:dyDescent="0.3">
      <c r="A601" t="s">
        <v>570</v>
      </c>
      <c r="D601">
        <v>20</v>
      </c>
      <c r="E601">
        <v>1</v>
      </c>
    </row>
    <row r="602" spans="1:5" x14ac:dyDescent="0.3">
      <c r="A602" t="s">
        <v>571</v>
      </c>
      <c r="D602">
        <v>25</v>
      </c>
      <c r="E602">
        <v>1</v>
      </c>
    </row>
    <row r="603" spans="1:5" x14ac:dyDescent="0.3">
      <c r="A603" t="s">
        <v>572</v>
      </c>
      <c r="D603">
        <v>35</v>
      </c>
      <c r="E603">
        <v>2</v>
      </c>
    </row>
    <row r="604" spans="1:5" x14ac:dyDescent="0.3">
      <c r="A604" t="s">
        <v>573</v>
      </c>
      <c r="D604">
        <v>25</v>
      </c>
      <c r="E604">
        <v>2</v>
      </c>
    </row>
    <row r="605" spans="1:5" x14ac:dyDescent="0.3">
      <c r="A605" t="s">
        <v>574</v>
      </c>
      <c r="D605">
        <v>35</v>
      </c>
      <c r="E605">
        <v>2</v>
      </c>
    </row>
    <row r="606" spans="1:5" x14ac:dyDescent="0.3">
      <c r="A606" t="s">
        <v>575</v>
      </c>
      <c r="D606">
        <v>20</v>
      </c>
      <c r="E606">
        <v>1</v>
      </c>
    </row>
    <row r="607" spans="1:5" x14ac:dyDescent="0.3">
      <c r="A607" t="s">
        <v>576</v>
      </c>
      <c r="D607">
        <v>15</v>
      </c>
      <c r="E607">
        <v>2</v>
      </c>
    </row>
    <row r="608" spans="1:5" x14ac:dyDescent="0.3">
      <c r="A608" t="s">
        <v>577</v>
      </c>
      <c r="D608">
        <v>10</v>
      </c>
      <c r="E608">
        <v>3</v>
      </c>
    </row>
    <row r="609" spans="1:5" x14ac:dyDescent="0.3">
      <c r="A609" t="s">
        <v>578</v>
      </c>
      <c r="D609">
        <v>10</v>
      </c>
      <c r="E609">
        <v>13</v>
      </c>
    </row>
    <row r="610" spans="1:5" x14ac:dyDescent="0.3">
      <c r="A610" t="s">
        <v>867</v>
      </c>
      <c r="D610">
        <v>10</v>
      </c>
      <c r="E610">
        <v>10</v>
      </c>
    </row>
    <row r="611" spans="1:5" x14ac:dyDescent="0.3">
      <c r="A611" t="s">
        <v>866</v>
      </c>
      <c r="D611">
        <v>12</v>
      </c>
      <c r="E611">
        <v>31</v>
      </c>
    </row>
    <row r="612" spans="1:5" x14ac:dyDescent="0.3">
      <c r="A612" t="s">
        <v>865</v>
      </c>
      <c r="D612">
        <v>30</v>
      </c>
      <c r="E612">
        <v>5</v>
      </c>
    </row>
    <row r="613" spans="1:5" x14ac:dyDescent="0.3">
      <c r="A613" t="s">
        <v>579</v>
      </c>
      <c r="D613">
        <v>15</v>
      </c>
      <c r="E613">
        <v>3</v>
      </c>
    </row>
    <row r="614" spans="1:5" x14ac:dyDescent="0.3">
      <c r="A614" t="s">
        <v>580</v>
      </c>
      <c r="D614">
        <v>12</v>
      </c>
      <c r="E614">
        <v>4</v>
      </c>
    </row>
    <row r="615" spans="1:5" x14ac:dyDescent="0.3">
      <c r="A615" t="s">
        <v>581</v>
      </c>
      <c r="D615">
        <v>15</v>
      </c>
      <c r="E615">
        <v>5</v>
      </c>
    </row>
    <row r="616" spans="1:5" x14ac:dyDescent="0.3">
      <c r="A616" t="s">
        <v>582</v>
      </c>
      <c r="D616">
        <v>10</v>
      </c>
      <c r="E616">
        <v>3</v>
      </c>
    </row>
    <row r="617" spans="1:5" x14ac:dyDescent="0.3">
      <c r="A617" t="s">
        <v>583</v>
      </c>
      <c r="D617">
        <v>5</v>
      </c>
    </row>
    <row r="618" spans="1:5" x14ac:dyDescent="0.3">
      <c r="A618" t="s">
        <v>863</v>
      </c>
      <c r="D618">
        <v>12</v>
      </c>
      <c r="E618">
        <v>4</v>
      </c>
    </row>
    <row r="619" spans="1:5" x14ac:dyDescent="0.3">
      <c r="A619" t="s">
        <v>584</v>
      </c>
      <c r="D619">
        <v>20</v>
      </c>
      <c r="E619">
        <v>2</v>
      </c>
    </row>
    <row r="620" spans="1:5" x14ac:dyDescent="0.3">
      <c r="A620" t="s">
        <v>585</v>
      </c>
      <c r="D620">
        <v>18</v>
      </c>
      <c r="E620">
        <v>1</v>
      </c>
    </row>
    <row r="621" spans="1:5" x14ac:dyDescent="0.3">
      <c r="A621" t="s">
        <v>586</v>
      </c>
      <c r="D621">
        <v>15</v>
      </c>
      <c r="E621">
        <v>5</v>
      </c>
    </row>
    <row r="622" spans="1:5" x14ac:dyDescent="0.3">
      <c r="A622" t="s">
        <v>587</v>
      </c>
      <c r="D622">
        <v>15</v>
      </c>
      <c r="E622">
        <v>2</v>
      </c>
    </row>
    <row r="623" spans="1:5" x14ac:dyDescent="0.3">
      <c r="A623" t="s">
        <v>588</v>
      </c>
      <c r="D623">
        <v>20</v>
      </c>
      <c r="E623">
        <v>3</v>
      </c>
    </row>
    <row r="624" spans="1:5" x14ac:dyDescent="0.3">
      <c r="A624" t="s">
        <v>862</v>
      </c>
      <c r="D624">
        <v>6</v>
      </c>
      <c r="E624">
        <v>12</v>
      </c>
    </row>
    <row r="625" spans="1:5" x14ac:dyDescent="0.3">
      <c r="A625" t="s">
        <v>589</v>
      </c>
      <c r="D625">
        <v>25</v>
      </c>
      <c r="E625">
        <v>4</v>
      </c>
    </row>
    <row r="626" spans="1:5" x14ac:dyDescent="0.3">
      <c r="A626" t="s">
        <v>590</v>
      </c>
      <c r="D626">
        <v>15</v>
      </c>
      <c r="E626">
        <v>8</v>
      </c>
    </row>
    <row r="627" spans="1:5" x14ac:dyDescent="0.3">
      <c r="A627" t="s">
        <v>864</v>
      </c>
      <c r="D627">
        <v>20</v>
      </c>
      <c r="E627">
        <v>2</v>
      </c>
    </row>
    <row r="628" spans="1:5" x14ac:dyDescent="0.3">
      <c r="A628" t="s">
        <v>591</v>
      </c>
      <c r="D628">
        <v>15</v>
      </c>
      <c r="E628">
        <v>1</v>
      </c>
    </row>
    <row r="629" spans="1:5" x14ac:dyDescent="0.3">
      <c r="A629" t="s">
        <v>592</v>
      </c>
      <c r="D629">
        <v>10</v>
      </c>
      <c r="E629">
        <v>5</v>
      </c>
    </row>
    <row r="630" spans="1:5" x14ac:dyDescent="0.3">
      <c r="A630" t="s">
        <v>593</v>
      </c>
      <c r="D630">
        <v>10</v>
      </c>
      <c r="E630">
        <v>11</v>
      </c>
    </row>
    <row r="631" spans="1:5" x14ac:dyDescent="0.3">
      <c r="A631" t="s">
        <v>594</v>
      </c>
      <c r="D631">
        <v>15</v>
      </c>
      <c r="E631">
        <v>2</v>
      </c>
    </row>
    <row r="632" spans="1:5" x14ac:dyDescent="0.3">
      <c r="A632" t="s">
        <v>861</v>
      </c>
      <c r="D632">
        <v>15</v>
      </c>
      <c r="E632">
        <v>1</v>
      </c>
    </row>
    <row r="633" spans="1:5" x14ac:dyDescent="0.3">
      <c r="A633" t="s">
        <v>595</v>
      </c>
    </row>
    <row r="634" spans="1:5" x14ac:dyDescent="0.3">
      <c r="A634" t="s">
        <v>596</v>
      </c>
      <c r="D634">
        <v>10</v>
      </c>
      <c r="E634">
        <v>6</v>
      </c>
    </row>
    <row r="635" spans="1:5" x14ac:dyDescent="0.3">
      <c r="A635" t="s">
        <v>597</v>
      </c>
    </row>
    <row r="636" spans="1:5" x14ac:dyDescent="0.3">
      <c r="A636" t="s">
        <v>859</v>
      </c>
      <c r="D636">
        <v>15</v>
      </c>
      <c r="E636">
        <v>4</v>
      </c>
    </row>
    <row r="637" spans="1:5" x14ac:dyDescent="0.3">
      <c r="A637" t="s">
        <v>860</v>
      </c>
      <c r="D637">
        <v>30</v>
      </c>
      <c r="E637">
        <v>8</v>
      </c>
    </row>
    <row r="638" spans="1:5" x14ac:dyDescent="0.3">
      <c r="A638" t="s">
        <v>598</v>
      </c>
      <c r="D638">
        <v>30</v>
      </c>
    </row>
    <row r="639" spans="1:5" x14ac:dyDescent="0.3">
      <c r="A639" t="s">
        <v>599</v>
      </c>
      <c r="D639">
        <v>25</v>
      </c>
      <c r="E639">
        <v>3</v>
      </c>
    </row>
    <row r="640" spans="1:5" x14ac:dyDescent="0.3">
      <c r="A640" t="s">
        <v>600</v>
      </c>
      <c r="D640">
        <v>10</v>
      </c>
      <c r="E640">
        <v>2</v>
      </c>
    </row>
    <row r="641" spans="1:5" x14ac:dyDescent="0.3">
      <c r="A641" t="s">
        <v>601</v>
      </c>
      <c r="D641">
        <v>15</v>
      </c>
    </row>
    <row r="642" spans="1:5" x14ac:dyDescent="0.3">
      <c r="A642" t="s">
        <v>602</v>
      </c>
      <c r="D642">
        <v>8</v>
      </c>
      <c r="E642">
        <v>1</v>
      </c>
    </row>
    <row r="643" spans="1:5" x14ac:dyDescent="0.3">
      <c r="A643" t="s">
        <v>603</v>
      </c>
      <c r="D643">
        <v>5</v>
      </c>
      <c r="E643">
        <v>2</v>
      </c>
    </row>
    <row r="644" spans="1:5" x14ac:dyDescent="0.3">
      <c r="A644" t="s">
        <v>604</v>
      </c>
      <c r="D644">
        <v>7</v>
      </c>
    </row>
    <row r="645" spans="1:5" x14ac:dyDescent="0.3">
      <c r="A645" t="s">
        <v>605</v>
      </c>
      <c r="D645">
        <v>50</v>
      </c>
    </row>
    <row r="646" spans="1:5" x14ac:dyDescent="0.3">
      <c r="A646" t="s">
        <v>606</v>
      </c>
      <c r="D646">
        <v>25</v>
      </c>
      <c r="E646">
        <v>2</v>
      </c>
    </row>
    <row r="647" spans="1:5" x14ac:dyDescent="0.3">
      <c r="A647" t="s">
        <v>607</v>
      </c>
      <c r="D647">
        <v>45</v>
      </c>
    </row>
    <row r="648" spans="1:5" x14ac:dyDescent="0.3">
      <c r="A648" t="s">
        <v>608</v>
      </c>
      <c r="D648">
        <v>25</v>
      </c>
      <c r="E648">
        <v>1</v>
      </c>
    </row>
    <row r="649" spans="1:5" x14ac:dyDescent="0.3">
      <c r="A649" t="s">
        <v>858</v>
      </c>
      <c r="D649">
        <v>30</v>
      </c>
    </row>
    <row r="650" spans="1:5" x14ac:dyDescent="0.3">
      <c r="A650" t="s">
        <v>609</v>
      </c>
      <c r="D650">
        <v>20</v>
      </c>
      <c r="E650">
        <v>1</v>
      </c>
    </row>
    <row r="651" spans="1:5" x14ac:dyDescent="0.3">
      <c r="A651" t="s">
        <v>610</v>
      </c>
      <c r="D651">
        <v>30</v>
      </c>
      <c r="E651">
        <v>1</v>
      </c>
    </row>
    <row r="652" spans="1:5" x14ac:dyDescent="0.3">
      <c r="A652" t="s">
        <v>611</v>
      </c>
      <c r="D652">
        <v>15</v>
      </c>
      <c r="E652">
        <v>27</v>
      </c>
    </row>
    <row r="653" spans="1:5" x14ac:dyDescent="0.3">
      <c r="A653" t="s">
        <v>612</v>
      </c>
      <c r="D653">
        <v>15</v>
      </c>
      <c r="E653">
        <v>3</v>
      </c>
    </row>
    <row r="654" spans="1:5" x14ac:dyDescent="0.3">
      <c r="A654" t="s">
        <v>613</v>
      </c>
      <c r="D654">
        <v>15</v>
      </c>
      <c r="E654">
        <v>4</v>
      </c>
    </row>
    <row r="655" spans="1:5" x14ac:dyDescent="0.3">
      <c r="A655" t="s">
        <v>614</v>
      </c>
      <c r="D655">
        <v>10</v>
      </c>
      <c r="E655">
        <v>2</v>
      </c>
    </row>
    <row r="656" spans="1:5" x14ac:dyDescent="0.3">
      <c r="A656" t="s">
        <v>615</v>
      </c>
      <c r="D656">
        <v>50</v>
      </c>
      <c r="E656">
        <v>2</v>
      </c>
    </row>
    <row r="657" spans="1:5" x14ac:dyDescent="0.3">
      <c r="A657" t="s">
        <v>616</v>
      </c>
      <c r="D657">
        <v>80</v>
      </c>
    </row>
    <row r="658" spans="1:5" x14ac:dyDescent="0.3">
      <c r="A658" t="s">
        <v>617</v>
      </c>
      <c r="D658">
        <v>18</v>
      </c>
      <c r="E658">
        <v>4</v>
      </c>
    </row>
    <row r="659" spans="1:5" x14ac:dyDescent="0.3">
      <c r="A659" t="s">
        <v>618</v>
      </c>
      <c r="D659">
        <v>18</v>
      </c>
      <c r="E659">
        <v>1</v>
      </c>
    </row>
    <row r="660" spans="1:5" x14ac:dyDescent="0.3">
      <c r="A660" t="s">
        <v>619</v>
      </c>
      <c r="D660">
        <v>40</v>
      </c>
      <c r="E660">
        <v>4</v>
      </c>
    </row>
    <row r="661" spans="1:5" x14ac:dyDescent="0.3">
      <c r="A661" t="s">
        <v>620</v>
      </c>
      <c r="D661">
        <v>25</v>
      </c>
    </row>
    <row r="662" spans="1:5" x14ac:dyDescent="0.3">
      <c r="A662" t="s">
        <v>621</v>
      </c>
      <c r="D662">
        <v>20</v>
      </c>
      <c r="E662">
        <v>1</v>
      </c>
    </row>
    <row r="663" spans="1:5" x14ac:dyDescent="0.3">
      <c r="A663" t="s">
        <v>857</v>
      </c>
      <c r="D663">
        <v>15</v>
      </c>
      <c r="E663">
        <v>7</v>
      </c>
    </row>
    <row r="664" spans="1:5" x14ac:dyDescent="0.3">
      <c r="A664" t="s">
        <v>622</v>
      </c>
      <c r="D664">
        <v>40</v>
      </c>
      <c r="E664">
        <v>2</v>
      </c>
    </row>
    <row r="665" spans="1:5" x14ac:dyDescent="0.3">
      <c r="A665" t="s">
        <v>623</v>
      </c>
      <c r="D665">
        <v>60</v>
      </c>
      <c r="E665">
        <v>2</v>
      </c>
    </row>
    <row r="666" spans="1:5" x14ac:dyDescent="0.3">
      <c r="A666" t="s">
        <v>624</v>
      </c>
      <c r="D666">
        <v>80</v>
      </c>
      <c r="E666">
        <v>1</v>
      </c>
    </row>
    <row r="667" spans="1:5" x14ac:dyDescent="0.3">
      <c r="A667" t="s">
        <v>625</v>
      </c>
      <c r="D667">
        <v>15</v>
      </c>
      <c r="E667">
        <v>2</v>
      </c>
    </row>
    <row r="668" spans="1:5" x14ac:dyDescent="0.3">
      <c r="A668" t="s">
        <v>856</v>
      </c>
      <c r="D668">
        <v>50</v>
      </c>
      <c r="E668">
        <v>1</v>
      </c>
    </row>
    <row r="669" spans="1:5" x14ac:dyDescent="0.3">
      <c r="A669" t="s">
        <v>855</v>
      </c>
      <c r="D669">
        <v>50</v>
      </c>
      <c r="E669">
        <v>2</v>
      </c>
    </row>
    <row r="670" spans="1:5" x14ac:dyDescent="0.3">
      <c r="A670" t="s">
        <v>626</v>
      </c>
      <c r="D670">
        <v>65</v>
      </c>
      <c r="E670">
        <v>3</v>
      </c>
    </row>
    <row r="671" spans="1:5" x14ac:dyDescent="0.3">
      <c r="A671" t="s">
        <v>627</v>
      </c>
      <c r="D671">
        <v>150</v>
      </c>
      <c r="E671">
        <v>1</v>
      </c>
    </row>
    <row r="672" spans="1:5" x14ac:dyDescent="0.3">
      <c r="A672" t="s">
        <v>628</v>
      </c>
      <c r="D672">
        <v>40</v>
      </c>
    </row>
    <row r="673" spans="1:5" x14ac:dyDescent="0.3">
      <c r="A673" t="s">
        <v>629</v>
      </c>
      <c r="D673">
        <v>150</v>
      </c>
      <c r="E673">
        <v>2</v>
      </c>
    </row>
    <row r="674" spans="1:5" x14ac:dyDescent="0.3">
      <c r="A674" t="s">
        <v>630</v>
      </c>
      <c r="D674">
        <v>40</v>
      </c>
    </row>
    <row r="675" spans="1:5" x14ac:dyDescent="0.3">
      <c r="A675" t="s">
        <v>631</v>
      </c>
      <c r="D675">
        <v>150</v>
      </c>
      <c r="E675">
        <v>1</v>
      </c>
    </row>
    <row r="676" spans="1:5" x14ac:dyDescent="0.3">
      <c r="A676" t="s">
        <v>632</v>
      </c>
      <c r="D676">
        <v>70</v>
      </c>
      <c r="E676">
        <v>3</v>
      </c>
    </row>
    <row r="677" spans="1:5" x14ac:dyDescent="0.3">
      <c r="A677" t="s">
        <v>633</v>
      </c>
      <c r="D677">
        <v>40</v>
      </c>
      <c r="E677">
        <v>4</v>
      </c>
    </row>
    <row r="678" spans="1:5" x14ac:dyDescent="0.3">
      <c r="A678" t="s">
        <v>634</v>
      </c>
      <c r="D678">
        <v>40</v>
      </c>
    </row>
    <row r="679" spans="1:5" x14ac:dyDescent="0.3">
      <c r="A679" t="s">
        <v>635</v>
      </c>
      <c r="D679">
        <v>20</v>
      </c>
      <c r="E679">
        <v>16</v>
      </c>
    </row>
    <row r="680" spans="1:5" x14ac:dyDescent="0.3">
      <c r="A680" t="s">
        <v>854</v>
      </c>
      <c r="D680">
        <v>10</v>
      </c>
      <c r="E680">
        <v>10</v>
      </c>
    </row>
    <row r="681" spans="1:5" x14ac:dyDescent="0.3">
      <c r="A681" t="s">
        <v>636</v>
      </c>
      <c r="D681">
        <v>45</v>
      </c>
      <c r="E681">
        <v>4</v>
      </c>
    </row>
    <row r="682" spans="1:5" x14ac:dyDescent="0.3">
      <c r="A682" t="s">
        <v>637</v>
      </c>
      <c r="D682">
        <v>40</v>
      </c>
      <c r="E682">
        <v>3</v>
      </c>
    </row>
    <row r="683" spans="1:5" x14ac:dyDescent="0.3">
      <c r="A683" t="s">
        <v>638</v>
      </c>
      <c r="D683">
        <v>50</v>
      </c>
      <c r="E683">
        <v>1</v>
      </c>
    </row>
    <row r="684" spans="1:5" x14ac:dyDescent="0.3">
      <c r="A684" t="s">
        <v>639</v>
      </c>
      <c r="D684">
        <v>60</v>
      </c>
      <c r="E684">
        <v>60</v>
      </c>
    </row>
    <row r="685" spans="1:5" x14ac:dyDescent="0.3">
      <c r="A685" t="s">
        <v>640</v>
      </c>
      <c r="D685">
        <v>45</v>
      </c>
    </row>
    <row r="686" spans="1:5" x14ac:dyDescent="0.3">
      <c r="A686" t="s">
        <v>641</v>
      </c>
      <c r="D686">
        <v>30</v>
      </c>
      <c r="E686">
        <v>4</v>
      </c>
    </row>
    <row r="687" spans="1:5" x14ac:dyDescent="0.3">
      <c r="A687" t="s">
        <v>642</v>
      </c>
      <c r="D687">
        <v>150</v>
      </c>
    </row>
    <row r="688" spans="1:5" x14ac:dyDescent="0.3">
      <c r="A688" t="s">
        <v>643</v>
      </c>
      <c r="D688">
        <v>45</v>
      </c>
      <c r="E688">
        <v>2</v>
      </c>
    </row>
    <row r="689" spans="1:5" x14ac:dyDescent="0.3">
      <c r="A689" t="s">
        <v>644</v>
      </c>
      <c r="D689">
        <v>130</v>
      </c>
      <c r="E689">
        <v>1</v>
      </c>
    </row>
    <row r="690" spans="1:5" x14ac:dyDescent="0.3">
      <c r="A690" t="s">
        <v>645</v>
      </c>
      <c r="D690">
        <v>100</v>
      </c>
      <c r="E690">
        <v>1</v>
      </c>
    </row>
    <row r="691" spans="1:5" x14ac:dyDescent="0.3">
      <c r="A691" t="s">
        <v>646</v>
      </c>
      <c r="D691">
        <v>200</v>
      </c>
      <c r="E691">
        <v>1</v>
      </c>
    </row>
    <row r="692" spans="1:5" x14ac:dyDescent="0.3">
      <c r="A692" t="s">
        <v>647</v>
      </c>
      <c r="D692">
        <v>40</v>
      </c>
    </row>
    <row r="693" spans="1:5" x14ac:dyDescent="0.3">
      <c r="A693" t="s">
        <v>648</v>
      </c>
      <c r="D693" s="4">
        <v>230</v>
      </c>
      <c r="E693">
        <v>1</v>
      </c>
    </row>
    <row r="694" spans="1:5" x14ac:dyDescent="0.3">
      <c r="A694" t="s">
        <v>649</v>
      </c>
      <c r="D694">
        <v>170</v>
      </c>
    </row>
    <row r="695" spans="1:5" x14ac:dyDescent="0.3">
      <c r="A695" t="s">
        <v>650</v>
      </c>
      <c r="D695">
        <v>150</v>
      </c>
      <c r="E695">
        <v>1</v>
      </c>
    </row>
    <row r="696" spans="1:5" x14ac:dyDescent="0.3">
      <c r="A696" t="s">
        <v>651</v>
      </c>
      <c r="D696">
        <v>150</v>
      </c>
      <c r="E696">
        <v>1</v>
      </c>
    </row>
    <row r="697" spans="1:5" x14ac:dyDescent="0.3">
      <c r="A697" t="s">
        <v>652</v>
      </c>
      <c r="D697">
        <v>40</v>
      </c>
    </row>
    <row r="698" spans="1:5" x14ac:dyDescent="0.3">
      <c r="A698" t="s">
        <v>653</v>
      </c>
      <c r="D698">
        <v>40</v>
      </c>
    </row>
    <row r="699" spans="1:5" x14ac:dyDescent="0.3">
      <c r="A699" t="s">
        <v>654</v>
      </c>
      <c r="D699">
        <v>150</v>
      </c>
    </row>
    <row r="700" spans="1:5" x14ac:dyDescent="0.3">
      <c r="A700" t="s">
        <v>655</v>
      </c>
      <c r="D700">
        <v>40</v>
      </c>
    </row>
    <row r="701" spans="1:5" x14ac:dyDescent="0.3">
      <c r="A701" t="s">
        <v>656</v>
      </c>
      <c r="D701">
        <v>45</v>
      </c>
    </row>
    <row r="702" spans="1:5" x14ac:dyDescent="0.3">
      <c r="A702" t="s">
        <v>657</v>
      </c>
      <c r="D702">
        <v>150</v>
      </c>
      <c r="E702">
        <v>1</v>
      </c>
    </row>
    <row r="703" spans="1:5" x14ac:dyDescent="0.3">
      <c r="A703" t="s">
        <v>658</v>
      </c>
      <c r="D703">
        <v>40</v>
      </c>
      <c r="E703">
        <v>1</v>
      </c>
    </row>
    <row r="704" spans="1:5" x14ac:dyDescent="0.3">
      <c r="A704" t="s">
        <v>659</v>
      </c>
      <c r="D704">
        <v>40</v>
      </c>
    </row>
    <row r="705" spans="1:5" x14ac:dyDescent="0.3">
      <c r="A705" t="s">
        <v>853</v>
      </c>
      <c r="D705">
        <v>50</v>
      </c>
      <c r="E705">
        <v>1</v>
      </c>
    </row>
    <row r="706" spans="1:5" x14ac:dyDescent="0.3">
      <c r="A706" t="s">
        <v>661</v>
      </c>
      <c r="D706">
        <v>30</v>
      </c>
      <c r="E706">
        <v>2</v>
      </c>
    </row>
    <row r="707" spans="1:5" x14ac:dyDescent="0.3">
      <c r="A707" t="s">
        <v>662</v>
      </c>
      <c r="D707">
        <v>50</v>
      </c>
      <c r="E707">
        <v>1</v>
      </c>
    </row>
    <row r="708" spans="1:5" x14ac:dyDescent="0.3">
      <c r="A708" t="s">
        <v>852</v>
      </c>
      <c r="D708">
        <v>25</v>
      </c>
      <c r="E708">
        <v>1</v>
      </c>
    </row>
    <row r="709" spans="1:5" x14ac:dyDescent="0.3">
      <c r="A709" t="s">
        <v>663</v>
      </c>
      <c r="D709">
        <v>65</v>
      </c>
      <c r="E709">
        <v>2</v>
      </c>
    </row>
    <row r="710" spans="1:5" x14ac:dyDescent="0.3">
      <c r="A710" t="s">
        <v>664</v>
      </c>
      <c r="D710">
        <v>40</v>
      </c>
      <c r="E710">
        <v>1</v>
      </c>
    </row>
    <row r="711" spans="1:5" x14ac:dyDescent="0.3">
      <c r="A711" t="s">
        <v>665</v>
      </c>
      <c r="D711">
        <v>40</v>
      </c>
      <c r="E711">
        <v>1</v>
      </c>
    </row>
    <row r="712" spans="1:5" x14ac:dyDescent="0.3">
      <c r="A712" t="s">
        <v>666</v>
      </c>
      <c r="D712">
        <v>50</v>
      </c>
      <c r="E712">
        <v>1</v>
      </c>
    </row>
    <row r="713" spans="1:5" x14ac:dyDescent="0.3">
      <c r="A713" t="s">
        <v>667</v>
      </c>
      <c r="D713">
        <v>150</v>
      </c>
      <c r="E713">
        <v>1</v>
      </c>
    </row>
    <row r="714" spans="1:5" x14ac:dyDescent="0.3">
      <c r="A714" t="s">
        <v>668</v>
      </c>
      <c r="D714">
        <v>85</v>
      </c>
      <c r="E714">
        <v>1</v>
      </c>
    </row>
    <row r="715" spans="1:5" x14ac:dyDescent="0.3">
      <c r="A715" t="s">
        <v>669</v>
      </c>
      <c r="D715">
        <v>100</v>
      </c>
      <c r="E715">
        <v>1</v>
      </c>
    </row>
    <row r="716" spans="1:5" x14ac:dyDescent="0.3">
      <c r="A716" t="s">
        <v>670</v>
      </c>
      <c r="D716">
        <v>30</v>
      </c>
      <c r="E716">
        <v>1</v>
      </c>
    </row>
    <row r="717" spans="1:5" x14ac:dyDescent="0.3">
      <c r="A717" t="s">
        <v>851</v>
      </c>
      <c r="D717">
        <v>40</v>
      </c>
      <c r="E717">
        <v>2</v>
      </c>
    </row>
    <row r="718" spans="1:5" x14ac:dyDescent="0.3">
      <c r="A718" t="s">
        <v>671</v>
      </c>
      <c r="D718">
        <v>150</v>
      </c>
    </row>
    <row r="719" spans="1:5" x14ac:dyDescent="0.3">
      <c r="A719" t="s">
        <v>672</v>
      </c>
      <c r="D719">
        <v>40</v>
      </c>
      <c r="E719">
        <v>1</v>
      </c>
    </row>
    <row r="720" spans="1:5" x14ac:dyDescent="0.3">
      <c r="A720" t="s">
        <v>850</v>
      </c>
      <c r="D720">
        <v>20</v>
      </c>
      <c r="E720">
        <v>1</v>
      </c>
    </row>
    <row r="721" spans="1:5" x14ac:dyDescent="0.3">
      <c r="A721" t="s">
        <v>673</v>
      </c>
      <c r="D721">
        <v>35</v>
      </c>
      <c r="E721">
        <v>4</v>
      </c>
    </row>
    <row r="722" spans="1:5" x14ac:dyDescent="0.3">
      <c r="A722" t="s">
        <v>674</v>
      </c>
      <c r="D722">
        <v>35</v>
      </c>
      <c r="E722">
        <v>2</v>
      </c>
    </row>
    <row r="723" spans="1:5" x14ac:dyDescent="0.3">
      <c r="A723" t="s">
        <v>675</v>
      </c>
      <c r="D723">
        <v>40</v>
      </c>
      <c r="E723">
        <v>1</v>
      </c>
    </row>
    <row r="724" spans="1:5" x14ac:dyDescent="0.3">
      <c r="A724" t="s">
        <v>676</v>
      </c>
      <c r="D724">
        <v>40</v>
      </c>
      <c r="E724">
        <v>1</v>
      </c>
    </row>
    <row r="725" spans="1:5" x14ac:dyDescent="0.3">
      <c r="A725" t="s">
        <v>677</v>
      </c>
      <c r="D725">
        <v>20</v>
      </c>
      <c r="E725">
        <v>2</v>
      </c>
    </row>
    <row r="726" spans="1:5" x14ac:dyDescent="0.3">
      <c r="A726" t="s">
        <v>678</v>
      </c>
      <c r="D726">
        <v>35</v>
      </c>
      <c r="E726">
        <v>2</v>
      </c>
    </row>
    <row r="727" spans="1:5" x14ac:dyDescent="0.3">
      <c r="A727" t="s">
        <v>849</v>
      </c>
      <c r="D727">
        <v>40</v>
      </c>
      <c r="E727">
        <v>2</v>
      </c>
    </row>
    <row r="728" spans="1:5" x14ac:dyDescent="0.3">
      <c r="A728" t="s">
        <v>847</v>
      </c>
      <c r="D728">
        <v>40</v>
      </c>
      <c r="E728">
        <v>1</v>
      </c>
    </row>
    <row r="729" spans="1:5" x14ac:dyDescent="0.3">
      <c r="A729" t="s">
        <v>679</v>
      </c>
      <c r="D729">
        <v>20</v>
      </c>
    </row>
    <row r="730" spans="1:5" x14ac:dyDescent="0.3">
      <c r="A730" t="s">
        <v>680</v>
      </c>
      <c r="D730">
        <v>40</v>
      </c>
      <c r="E730">
        <v>1</v>
      </c>
    </row>
    <row r="731" spans="1:5" x14ac:dyDescent="0.3">
      <c r="A731" t="s">
        <v>681</v>
      </c>
      <c r="D731">
        <v>50</v>
      </c>
      <c r="E731">
        <v>1</v>
      </c>
    </row>
    <row r="732" spans="1:5" x14ac:dyDescent="0.3">
      <c r="A732" t="s">
        <v>846</v>
      </c>
      <c r="D732">
        <v>50</v>
      </c>
      <c r="E732">
        <v>2</v>
      </c>
    </row>
    <row r="733" spans="1:5" x14ac:dyDescent="0.3">
      <c r="A733" t="s">
        <v>682</v>
      </c>
      <c r="D733">
        <v>35</v>
      </c>
      <c r="E733">
        <v>2</v>
      </c>
    </row>
    <row r="734" spans="1:5" x14ac:dyDescent="0.3">
      <c r="A734" t="s">
        <v>683</v>
      </c>
      <c r="D734">
        <v>40</v>
      </c>
      <c r="E734">
        <v>8</v>
      </c>
    </row>
    <row r="735" spans="1:5" x14ac:dyDescent="0.3">
      <c r="A735" t="s">
        <v>684</v>
      </c>
      <c r="D735">
        <v>40</v>
      </c>
    </row>
    <row r="736" spans="1:5" x14ac:dyDescent="0.3">
      <c r="A736" t="s">
        <v>685</v>
      </c>
      <c r="D736">
        <v>35</v>
      </c>
      <c r="E736">
        <v>1</v>
      </c>
    </row>
    <row r="737" spans="1:5" x14ac:dyDescent="0.3">
      <c r="A737" t="s">
        <v>660</v>
      </c>
      <c r="D737">
        <v>50</v>
      </c>
      <c r="E737">
        <v>2</v>
      </c>
    </row>
    <row r="738" spans="1:5" x14ac:dyDescent="0.3">
      <c r="A738" t="s">
        <v>686</v>
      </c>
      <c r="D738">
        <v>25</v>
      </c>
      <c r="E738">
        <v>19</v>
      </c>
    </row>
    <row r="739" spans="1:5" x14ac:dyDescent="0.3">
      <c r="A739" t="s">
        <v>687</v>
      </c>
      <c r="D739">
        <v>30</v>
      </c>
      <c r="E739">
        <v>8</v>
      </c>
    </row>
    <row r="740" spans="1:5" x14ac:dyDescent="0.3">
      <c r="A740" t="s">
        <v>688</v>
      </c>
      <c r="D740">
        <v>15</v>
      </c>
      <c r="E740">
        <v>14</v>
      </c>
    </row>
    <row r="741" spans="1:5" x14ac:dyDescent="0.3">
      <c r="A741" t="s">
        <v>689</v>
      </c>
      <c r="D741">
        <v>7</v>
      </c>
      <c r="E741">
        <v>4</v>
      </c>
    </row>
    <row r="742" spans="1:5" x14ac:dyDescent="0.3">
      <c r="A742" t="s">
        <v>690</v>
      </c>
      <c r="D742">
        <v>40</v>
      </c>
      <c r="E742">
        <v>4</v>
      </c>
    </row>
    <row r="743" spans="1:5" x14ac:dyDescent="0.3">
      <c r="A743" t="s">
        <v>691</v>
      </c>
      <c r="D743">
        <v>15</v>
      </c>
      <c r="E743">
        <v>4</v>
      </c>
    </row>
    <row r="744" spans="1:5" x14ac:dyDescent="0.3">
      <c r="A744" t="s">
        <v>692</v>
      </c>
      <c r="D744">
        <v>20</v>
      </c>
      <c r="E744">
        <v>1</v>
      </c>
    </row>
    <row r="745" spans="1:5" x14ac:dyDescent="0.3">
      <c r="A745" t="s">
        <v>693</v>
      </c>
      <c r="D745">
        <v>25</v>
      </c>
      <c r="E745">
        <v>2</v>
      </c>
    </row>
    <row r="746" spans="1:5" x14ac:dyDescent="0.3">
      <c r="A746" t="s">
        <v>694</v>
      </c>
      <c r="D746">
        <v>20</v>
      </c>
      <c r="E746">
        <v>4</v>
      </c>
    </row>
    <row r="747" spans="1:5" x14ac:dyDescent="0.3">
      <c r="A747" t="s">
        <v>695</v>
      </c>
      <c r="D747">
        <v>15</v>
      </c>
      <c r="E747">
        <v>4</v>
      </c>
    </row>
    <row r="748" spans="1:5" x14ac:dyDescent="0.3">
      <c r="A748" t="s">
        <v>696</v>
      </c>
      <c r="D748">
        <v>25</v>
      </c>
      <c r="E748">
        <v>3</v>
      </c>
    </row>
    <row r="749" spans="1:5" x14ac:dyDescent="0.3">
      <c r="A749" t="s">
        <v>697</v>
      </c>
      <c r="D749">
        <v>20</v>
      </c>
      <c r="E749">
        <v>1</v>
      </c>
    </row>
    <row r="750" spans="1:5" x14ac:dyDescent="0.3">
      <c r="A750" t="s">
        <v>698</v>
      </c>
      <c r="D750">
        <v>15</v>
      </c>
      <c r="E750">
        <v>1</v>
      </c>
    </row>
    <row r="751" spans="1:5" x14ac:dyDescent="0.3">
      <c r="A751" t="s">
        <v>708</v>
      </c>
      <c r="D751">
        <v>80</v>
      </c>
      <c r="E751">
        <v>2</v>
      </c>
    </row>
    <row r="752" spans="1:5" x14ac:dyDescent="0.3">
      <c r="A752" t="s">
        <v>709</v>
      </c>
      <c r="D752">
        <v>80</v>
      </c>
      <c r="E752">
        <v>7</v>
      </c>
    </row>
    <row r="753" spans="1:5" x14ac:dyDescent="0.3">
      <c r="A753" t="s">
        <v>710</v>
      </c>
      <c r="D753">
        <v>80</v>
      </c>
      <c r="E753">
        <v>5</v>
      </c>
    </row>
    <row r="754" spans="1:5" x14ac:dyDescent="0.3">
      <c r="A754" t="s">
        <v>699</v>
      </c>
      <c r="D754">
        <v>20</v>
      </c>
    </row>
    <row r="755" spans="1:5" x14ac:dyDescent="0.3">
      <c r="A755" t="s">
        <v>700</v>
      </c>
      <c r="D755">
        <v>10</v>
      </c>
      <c r="E755">
        <v>7</v>
      </c>
    </row>
    <row r="756" spans="1:5" x14ac:dyDescent="0.3">
      <c r="A756" t="s">
        <v>701</v>
      </c>
      <c r="D756">
        <v>25</v>
      </c>
      <c r="E756">
        <v>5</v>
      </c>
    </row>
    <row r="757" spans="1:5" x14ac:dyDescent="0.3">
      <c r="A757" t="s">
        <v>702</v>
      </c>
      <c r="D757">
        <v>20</v>
      </c>
      <c r="E757">
        <v>2</v>
      </c>
    </row>
    <row r="758" spans="1:5" x14ac:dyDescent="0.3">
      <c r="A758" t="s">
        <v>703</v>
      </c>
      <c r="D758">
        <v>15</v>
      </c>
      <c r="E758">
        <v>6</v>
      </c>
    </row>
    <row r="759" spans="1:5" x14ac:dyDescent="0.3">
      <c r="A759" t="s">
        <v>704</v>
      </c>
      <c r="D759">
        <v>10</v>
      </c>
    </row>
    <row r="760" spans="1:5" x14ac:dyDescent="0.3">
      <c r="A760" t="s">
        <v>705</v>
      </c>
      <c r="D760">
        <v>5</v>
      </c>
      <c r="E760">
        <v>3</v>
      </c>
    </row>
    <row r="761" spans="1:5" x14ac:dyDescent="0.3">
      <c r="A761" t="s">
        <v>706</v>
      </c>
      <c r="D761">
        <v>7</v>
      </c>
      <c r="E761">
        <v>2</v>
      </c>
    </row>
    <row r="762" spans="1:5" x14ac:dyDescent="0.3">
      <c r="A762" t="s">
        <v>707</v>
      </c>
      <c r="D762">
        <v>5</v>
      </c>
      <c r="E762">
        <v>22</v>
      </c>
    </row>
    <row r="763" spans="1:5" x14ac:dyDescent="0.3">
      <c r="A763" t="s">
        <v>711</v>
      </c>
      <c r="D763">
        <v>10</v>
      </c>
      <c r="E763">
        <v>9</v>
      </c>
    </row>
    <row r="764" spans="1:5" x14ac:dyDescent="0.3">
      <c r="A764" t="s">
        <v>712</v>
      </c>
      <c r="D764">
        <v>45</v>
      </c>
    </row>
    <row r="765" spans="1:5" x14ac:dyDescent="0.3">
      <c r="A765" t="s">
        <v>713</v>
      </c>
      <c r="D765">
        <v>25</v>
      </c>
      <c r="E765">
        <v>4</v>
      </c>
    </row>
    <row r="766" spans="1:5" x14ac:dyDescent="0.3">
      <c r="A766" t="s">
        <v>714</v>
      </c>
      <c r="D766">
        <v>15</v>
      </c>
      <c r="E766">
        <v>2</v>
      </c>
    </row>
    <row r="767" spans="1:5" x14ac:dyDescent="0.3">
      <c r="A767" t="s">
        <v>715</v>
      </c>
      <c r="D767">
        <v>20</v>
      </c>
      <c r="E767">
        <v>6</v>
      </c>
    </row>
    <row r="768" spans="1:5" x14ac:dyDescent="0.3">
      <c r="A768" t="s">
        <v>848</v>
      </c>
      <c r="D768">
        <v>5</v>
      </c>
      <c r="E768">
        <v>7</v>
      </c>
    </row>
    <row r="769" spans="1:5" x14ac:dyDescent="0.3">
      <c r="A769" t="s">
        <v>716</v>
      </c>
      <c r="D769">
        <v>8</v>
      </c>
      <c r="E769">
        <v>3</v>
      </c>
    </row>
    <row r="770" spans="1:5" x14ac:dyDescent="0.3">
      <c r="A770" t="s">
        <v>717</v>
      </c>
      <c r="D770">
        <v>50</v>
      </c>
    </row>
    <row r="771" spans="1:5" x14ac:dyDescent="0.3">
      <c r="A771" t="s">
        <v>718</v>
      </c>
      <c r="D771">
        <v>40</v>
      </c>
      <c r="E771">
        <v>1</v>
      </c>
    </row>
    <row r="772" spans="1:5" x14ac:dyDescent="0.3">
      <c r="A772" t="s">
        <v>719</v>
      </c>
      <c r="D772">
        <v>25</v>
      </c>
      <c r="E772">
        <v>1</v>
      </c>
    </row>
    <row r="773" spans="1:5" x14ac:dyDescent="0.3">
      <c r="A773" t="s">
        <v>720</v>
      </c>
      <c r="D773">
        <v>35</v>
      </c>
      <c r="E773">
        <v>3</v>
      </c>
    </row>
    <row r="774" spans="1:5" x14ac:dyDescent="0.3">
      <c r="A774" t="s">
        <v>721</v>
      </c>
      <c r="D774">
        <v>40</v>
      </c>
      <c r="E774">
        <v>5</v>
      </c>
    </row>
    <row r="775" spans="1:5" x14ac:dyDescent="0.3">
      <c r="A775" t="s">
        <v>722</v>
      </c>
      <c r="D775">
        <v>20</v>
      </c>
      <c r="E775">
        <v>1</v>
      </c>
    </row>
    <row r="776" spans="1:5" x14ac:dyDescent="0.3">
      <c r="A776" t="s">
        <v>845</v>
      </c>
      <c r="D776">
        <v>20</v>
      </c>
      <c r="E776">
        <v>1</v>
      </c>
    </row>
    <row r="777" spans="1:5" x14ac:dyDescent="0.3">
      <c r="A777" t="s">
        <v>844</v>
      </c>
      <c r="D777">
        <v>20</v>
      </c>
      <c r="E777">
        <v>5</v>
      </c>
    </row>
    <row r="778" spans="1:5" x14ac:dyDescent="0.3">
      <c r="A778" t="s">
        <v>723</v>
      </c>
      <c r="D778">
        <v>1</v>
      </c>
      <c r="E778">
        <v>23</v>
      </c>
    </row>
    <row r="779" spans="1:5" x14ac:dyDescent="0.3">
      <c r="A779" t="s">
        <v>724</v>
      </c>
      <c r="D779">
        <v>45</v>
      </c>
      <c r="E779">
        <v>1</v>
      </c>
    </row>
    <row r="780" spans="1:5" x14ac:dyDescent="0.3">
      <c r="A780" t="s">
        <v>725</v>
      </c>
      <c r="D780">
        <v>45</v>
      </c>
    </row>
    <row r="781" spans="1:5" x14ac:dyDescent="0.3">
      <c r="A781" t="s">
        <v>726</v>
      </c>
      <c r="D781">
        <v>45</v>
      </c>
      <c r="E781">
        <v>8</v>
      </c>
    </row>
    <row r="782" spans="1:5" x14ac:dyDescent="0.3">
      <c r="A782" t="s">
        <v>727</v>
      </c>
      <c r="D782">
        <v>30</v>
      </c>
      <c r="E782">
        <v>6</v>
      </c>
    </row>
    <row r="783" spans="1:5" x14ac:dyDescent="0.3">
      <c r="A783" t="s">
        <v>728</v>
      </c>
      <c r="D783">
        <v>160</v>
      </c>
    </row>
    <row r="784" spans="1:5" x14ac:dyDescent="0.3">
      <c r="A784" t="s">
        <v>729</v>
      </c>
      <c r="D784">
        <v>40</v>
      </c>
      <c r="E784">
        <v>7</v>
      </c>
    </row>
    <row r="785" spans="1:5" x14ac:dyDescent="0.3">
      <c r="A785" t="s">
        <v>730</v>
      </c>
      <c r="D785">
        <v>40</v>
      </c>
      <c r="E785">
        <v>6</v>
      </c>
    </row>
    <row r="786" spans="1:5" x14ac:dyDescent="0.3">
      <c r="A786" t="s">
        <v>843</v>
      </c>
      <c r="D786">
        <v>25</v>
      </c>
      <c r="E786">
        <v>5</v>
      </c>
    </row>
    <row r="787" spans="1:5" x14ac:dyDescent="0.3">
      <c r="A787" t="s">
        <v>842</v>
      </c>
      <c r="D787">
        <v>45</v>
      </c>
      <c r="E787">
        <v>6</v>
      </c>
    </row>
    <row r="788" spans="1:5" x14ac:dyDescent="0.3">
      <c r="A788" t="s">
        <v>731</v>
      </c>
      <c r="D788">
        <v>150</v>
      </c>
      <c r="E788">
        <v>1</v>
      </c>
    </row>
    <row r="789" spans="1:5" x14ac:dyDescent="0.3">
      <c r="A789" t="s">
        <v>732</v>
      </c>
      <c r="D789">
        <v>100</v>
      </c>
      <c r="E789">
        <v>1</v>
      </c>
    </row>
    <row r="790" spans="1:5" x14ac:dyDescent="0.3">
      <c r="A790" t="s">
        <v>841</v>
      </c>
      <c r="D790">
        <v>90</v>
      </c>
    </row>
    <row r="791" spans="1:5" x14ac:dyDescent="0.3">
      <c r="A791" t="s">
        <v>733</v>
      </c>
      <c r="D791">
        <v>140</v>
      </c>
      <c r="E791">
        <v>1</v>
      </c>
    </row>
    <row r="792" spans="1:5" x14ac:dyDescent="0.3">
      <c r="A792" t="s">
        <v>734</v>
      </c>
      <c r="D792">
        <v>100</v>
      </c>
    </row>
    <row r="793" spans="1:5" x14ac:dyDescent="0.3">
      <c r="A793" t="s">
        <v>735</v>
      </c>
      <c r="D793">
        <v>15</v>
      </c>
      <c r="E793">
        <v>11</v>
      </c>
    </row>
    <row r="794" spans="1:5" x14ac:dyDescent="0.3">
      <c r="A794" t="s">
        <v>736</v>
      </c>
      <c r="D794">
        <v>10</v>
      </c>
      <c r="E794">
        <v>3</v>
      </c>
    </row>
    <row r="795" spans="1:5" x14ac:dyDescent="0.3">
      <c r="A795" t="s">
        <v>840</v>
      </c>
      <c r="D795">
        <v>50</v>
      </c>
      <c r="E795">
        <v>8</v>
      </c>
    </row>
    <row r="796" spans="1:5" x14ac:dyDescent="0.3">
      <c r="A796" t="s">
        <v>839</v>
      </c>
      <c r="D796">
        <v>5</v>
      </c>
      <c r="E796">
        <v>13</v>
      </c>
    </row>
    <row r="797" spans="1:5" x14ac:dyDescent="0.3">
      <c r="A797" t="s">
        <v>737</v>
      </c>
      <c r="D797">
        <v>150</v>
      </c>
      <c r="E797">
        <v>1</v>
      </c>
    </row>
    <row r="798" spans="1:5" x14ac:dyDescent="0.3">
      <c r="A798" t="s">
        <v>738</v>
      </c>
      <c r="D798">
        <v>150</v>
      </c>
    </row>
    <row r="799" spans="1:5" x14ac:dyDescent="0.3">
      <c r="A799" t="s">
        <v>739</v>
      </c>
      <c r="D799">
        <v>140</v>
      </c>
    </row>
    <row r="800" spans="1:5" x14ac:dyDescent="0.3">
      <c r="A800" t="s">
        <v>740</v>
      </c>
      <c r="D800">
        <v>150</v>
      </c>
      <c r="E800">
        <v>1</v>
      </c>
    </row>
    <row r="801" spans="1:5" x14ac:dyDescent="0.3">
      <c r="A801" t="s">
        <v>741</v>
      </c>
      <c r="D801">
        <v>110</v>
      </c>
      <c r="E801">
        <v>1</v>
      </c>
    </row>
    <row r="802" spans="1:5" x14ac:dyDescent="0.3">
      <c r="A802" t="s">
        <v>742</v>
      </c>
      <c r="D802">
        <v>15</v>
      </c>
      <c r="E802">
        <v>6</v>
      </c>
    </row>
    <row r="803" spans="1:5" x14ac:dyDescent="0.3">
      <c r="A803" t="s">
        <v>838</v>
      </c>
      <c r="D803">
        <v>15</v>
      </c>
      <c r="E803">
        <v>10</v>
      </c>
    </row>
    <row r="804" spans="1:5" x14ac:dyDescent="0.3">
      <c r="A804" t="s">
        <v>743</v>
      </c>
      <c r="D804">
        <v>15</v>
      </c>
      <c r="E804">
        <v>5</v>
      </c>
    </row>
    <row r="805" spans="1:5" x14ac:dyDescent="0.3">
      <c r="A805" t="s">
        <v>837</v>
      </c>
      <c r="D805">
        <v>15</v>
      </c>
      <c r="E805">
        <v>8</v>
      </c>
    </row>
    <row r="806" spans="1:5" x14ac:dyDescent="0.3">
      <c r="A806" t="s">
        <v>744</v>
      </c>
      <c r="D806">
        <v>60</v>
      </c>
      <c r="E806">
        <v>1</v>
      </c>
    </row>
    <row r="807" spans="1:5" x14ac:dyDescent="0.3">
      <c r="A807" t="s">
        <v>745</v>
      </c>
      <c r="D807">
        <v>80</v>
      </c>
      <c r="E807">
        <v>1</v>
      </c>
    </row>
    <row r="808" spans="1:5" x14ac:dyDescent="0.3">
      <c r="A808" t="s">
        <v>746</v>
      </c>
      <c r="D808">
        <v>50</v>
      </c>
      <c r="E808">
        <v>1</v>
      </c>
    </row>
    <row r="809" spans="1:5" x14ac:dyDescent="0.3">
      <c r="A809" t="s">
        <v>747</v>
      </c>
      <c r="D809">
        <v>50</v>
      </c>
    </row>
    <row r="810" spans="1:5" x14ac:dyDescent="0.3">
      <c r="A810" t="s">
        <v>748</v>
      </c>
      <c r="D810">
        <v>15</v>
      </c>
      <c r="E810">
        <v>1</v>
      </c>
    </row>
    <row r="811" spans="1:5" x14ac:dyDescent="0.3">
      <c r="A811" t="s">
        <v>749</v>
      </c>
      <c r="D811">
        <v>12</v>
      </c>
      <c r="E811">
        <v>2</v>
      </c>
    </row>
    <row r="812" spans="1:5" x14ac:dyDescent="0.3">
      <c r="A812" t="s">
        <v>750</v>
      </c>
      <c r="D812">
        <v>50</v>
      </c>
      <c r="E812">
        <v>2</v>
      </c>
    </row>
    <row r="813" spans="1:5" x14ac:dyDescent="0.3">
      <c r="A813" t="s">
        <v>751</v>
      </c>
      <c r="D813">
        <v>50</v>
      </c>
      <c r="E813">
        <v>1</v>
      </c>
    </row>
    <row r="814" spans="1:5" x14ac:dyDescent="0.3">
      <c r="A814" t="s">
        <v>752</v>
      </c>
      <c r="D814">
        <v>35</v>
      </c>
      <c r="E814">
        <v>1</v>
      </c>
    </row>
    <row r="815" spans="1:5" x14ac:dyDescent="0.3">
      <c r="A815" t="s">
        <v>753</v>
      </c>
      <c r="D815">
        <v>15</v>
      </c>
    </row>
    <row r="816" spans="1:5" x14ac:dyDescent="0.3">
      <c r="A816" t="s">
        <v>754</v>
      </c>
      <c r="D816">
        <v>20</v>
      </c>
      <c r="E816">
        <v>1</v>
      </c>
    </row>
    <row r="817" spans="1:5" x14ac:dyDescent="0.3">
      <c r="A817" t="s">
        <v>755</v>
      </c>
      <c r="D817">
        <v>20</v>
      </c>
      <c r="E817">
        <v>1</v>
      </c>
    </row>
    <row r="818" spans="1:5" x14ac:dyDescent="0.3">
      <c r="A818" t="s">
        <v>756</v>
      </c>
      <c r="D818">
        <v>10</v>
      </c>
    </row>
    <row r="819" spans="1:5" x14ac:dyDescent="0.3">
      <c r="A819" t="s">
        <v>757</v>
      </c>
    </row>
    <row r="820" spans="1:5" x14ac:dyDescent="0.3">
      <c r="A820" t="s">
        <v>758</v>
      </c>
    </row>
    <row r="821" spans="1:5" x14ac:dyDescent="0.3">
      <c r="A821" t="s">
        <v>836</v>
      </c>
      <c r="D821">
        <v>35</v>
      </c>
    </row>
    <row r="822" spans="1:5" x14ac:dyDescent="0.3">
      <c r="A822" t="s">
        <v>835</v>
      </c>
      <c r="D822">
        <v>20</v>
      </c>
    </row>
    <row r="823" spans="1:5" x14ac:dyDescent="0.3">
      <c r="A823" t="s">
        <v>759</v>
      </c>
      <c r="D823">
        <v>15</v>
      </c>
      <c r="E823">
        <v>1</v>
      </c>
    </row>
    <row r="824" spans="1:5" x14ac:dyDescent="0.3">
      <c r="A824" t="s">
        <v>760</v>
      </c>
      <c r="D824">
        <v>20</v>
      </c>
      <c r="E824">
        <v>1</v>
      </c>
    </row>
    <row r="825" spans="1:5" x14ac:dyDescent="0.3">
      <c r="A825" t="s">
        <v>761</v>
      </c>
      <c r="D825">
        <v>30</v>
      </c>
      <c r="E825">
        <v>1</v>
      </c>
    </row>
    <row r="826" spans="1:5" x14ac:dyDescent="0.3">
      <c r="A826" t="s">
        <v>762</v>
      </c>
      <c r="D826">
        <v>25</v>
      </c>
      <c r="E826">
        <v>1</v>
      </c>
    </row>
    <row r="827" spans="1:5" x14ac:dyDescent="0.3">
      <c r="A827" t="s">
        <v>763</v>
      </c>
      <c r="D827">
        <v>20</v>
      </c>
    </row>
    <row r="828" spans="1:5" x14ac:dyDescent="0.3">
      <c r="A828" t="s">
        <v>764</v>
      </c>
      <c r="D828">
        <v>15</v>
      </c>
      <c r="E828">
        <v>2</v>
      </c>
    </row>
    <row r="829" spans="1:5" x14ac:dyDescent="0.3">
      <c r="A829" t="s">
        <v>834</v>
      </c>
      <c r="D829">
        <v>65</v>
      </c>
    </row>
    <row r="830" spans="1:5" x14ac:dyDescent="0.3">
      <c r="A830" t="s">
        <v>833</v>
      </c>
      <c r="D830">
        <v>50</v>
      </c>
      <c r="E830">
        <v>2</v>
      </c>
    </row>
    <row r="831" spans="1:5" x14ac:dyDescent="0.3">
      <c r="A831" t="s">
        <v>832</v>
      </c>
      <c r="D831">
        <v>30</v>
      </c>
    </row>
    <row r="832" spans="1:5" x14ac:dyDescent="0.3">
      <c r="A832" t="s">
        <v>765</v>
      </c>
      <c r="D832">
        <v>20</v>
      </c>
      <c r="E832">
        <v>2</v>
      </c>
    </row>
    <row r="833" spans="1:5" x14ac:dyDescent="0.3">
      <c r="A833" t="s">
        <v>766</v>
      </c>
      <c r="D833">
        <v>2</v>
      </c>
      <c r="E833">
        <v>4</v>
      </c>
    </row>
    <row r="834" spans="1:5" x14ac:dyDescent="0.3">
      <c r="A834" t="s">
        <v>767</v>
      </c>
      <c r="D834">
        <v>100</v>
      </c>
      <c r="E834">
        <v>1</v>
      </c>
    </row>
    <row r="835" spans="1:5" x14ac:dyDescent="0.3">
      <c r="A835" t="s">
        <v>768</v>
      </c>
      <c r="D835">
        <v>50</v>
      </c>
      <c r="E835">
        <v>1</v>
      </c>
    </row>
    <row r="836" spans="1:5" x14ac:dyDescent="0.3">
      <c r="A836" t="s">
        <v>769</v>
      </c>
      <c r="D836">
        <v>50</v>
      </c>
      <c r="E836">
        <v>3</v>
      </c>
    </row>
    <row r="837" spans="1:5" x14ac:dyDescent="0.3">
      <c r="A837" t="s">
        <v>770</v>
      </c>
      <c r="D837">
        <v>45</v>
      </c>
    </row>
    <row r="838" spans="1:5" x14ac:dyDescent="0.3">
      <c r="A838" t="s">
        <v>771</v>
      </c>
      <c r="D838">
        <v>40</v>
      </c>
      <c r="E838">
        <v>2</v>
      </c>
    </row>
    <row r="839" spans="1:5" x14ac:dyDescent="0.3">
      <c r="A839" t="s">
        <v>772</v>
      </c>
      <c r="D839">
        <v>30</v>
      </c>
      <c r="E839">
        <v>1</v>
      </c>
    </row>
    <row r="840" spans="1:5" x14ac:dyDescent="0.3">
      <c r="A840" t="s">
        <v>773</v>
      </c>
      <c r="D840">
        <v>25</v>
      </c>
    </row>
    <row r="841" spans="1:5" x14ac:dyDescent="0.3">
      <c r="A841" t="s">
        <v>774</v>
      </c>
      <c r="D841">
        <v>15</v>
      </c>
    </row>
    <row r="842" spans="1:5" x14ac:dyDescent="0.3">
      <c r="A842" t="s">
        <v>775</v>
      </c>
      <c r="D842">
        <v>20</v>
      </c>
      <c r="E842">
        <v>1</v>
      </c>
    </row>
    <row r="843" spans="1:5" x14ac:dyDescent="0.3">
      <c r="A843" t="s">
        <v>776</v>
      </c>
      <c r="D843">
        <v>15</v>
      </c>
      <c r="E843">
        <v>1</v>
      </c>
    </row>
    <row r="844" spans="1:5" x14ac:dyDescent="0.3">
      <c r="A844" t="s">
        <v>777</v>
      </c>
      <c r="D844">
        <v>50</v>
      </c>
      <c r="E844">
        <v>1</v>
      </c>
    </row>
    <row r="845" spans="1:5" x14ac:dyDescent="0.3">
      <c r="A845" t="s">
        <v>778</v>
      </c>
      <c r="D845">
        <v>70</v>
      </c>
      <c r="E845">
        <v>1</v>
      </c>
    </row>
    <row r="846" spans="1:5" x14ac:dyDescent="0.3">
      <c r="A846" t="s">
        <v>779</v>
      </c>
      <c r="D846">
        <v>50</v>
      </c>
      <c r="E846">
        <v>1</v>
      </c>
    </row>
    <row r="847" spans="1:5" x14ac:dyDescent="0.3">
      <c r="A847" t="s">
        <v>780</v>
      </c>
      <c r="D847">
        <v>100</v>
      </c>
      <c r="E847">
        <v>1</v>
      </c>
    </row>
    <row r="848" spans="1:5" x14ac:dyDescent="0.3">
      <c r="A848" t="s">
        <v>781</v>
      </c>
      <c r="D848">
        <v>18</v>
      </c>
      <c r="E848">
        <v>8</v>
      </c>
    </row>
    <row r="849" spans="1:5" x14ac:dyDescent="0.3">
      <c r="A849" t="s">
        <v>782</v>
      </c>
      <c r="D849">
        <v>5</v>
      </c>
      <c r="E849">
        <v>5</v>
      </c>
    </row>
    <row r="850" spans="1:5" x14ac:dyDescent="0.3">
      <c r="A850" t="s">
        <v>783</v>
      </c>
      <c r="D850">
        <v>20</v>
      </c>
      <c r="E850">
        <v>1</v>
      </c>
    </row>
    <row r="851" spans="1:5" x14ac:dyDescent="0.3">
      <c r="A851" t="s">
        <v>829</v>
      </c>
      <c r="D851">
        <v>20</v>
      </c>
      <c r="E851">
        <v>1</v>
      </c>
    </row>
    <row r="852" spans="1:5" x14ac:dyDescent="0.3">
      <c r="A852" t="s">
        <v>784</v>
      </c>
      <c r="D852">
        <v>10</v>
      </c>
      <c r="E852">
        <v>4</v>
      </c>
    </row>
    <row r="853" spans="1:5" x14ac:dyDescent="0.3">
      <c r="A853" t="s">
        <v>785</v>
      </c>
      <c r="D853">
        <v>35</v>
      </c>
    </row>
    <row r="854" spans="1:5" x14ac:dyDescent="0.3">
      <c r="A854" t="s">
        <v>786</v>
      </c>
    </row>
    <row r="855" spans="1:5" x14ac:dyDescent="0.3">
      <c r="A855" t="s">
        <v>787</v>
      </c>
      <c r="D855">
        <v>5</v>
      </c>
      <c r="E855">
        <v>5</v>
      </c>
    </row>
    <row r="856" spans="1:5" x14ac:dyDescent="0.3">
      <c r="A856" t="s">
        <v>788</v>
      </c>
      <c r="D856">
        <v>25</v>
      </c>
      <c r="E856">
        <v>2</v>
      </c>
    </row>
    <row r="857" spans="1:5" x14ac:dyDescent="0.3">
      <c r="A857" t="s">
        <v>789</v>
      </c>
      <c r="D857">
        <v>50</v>
      </c>
      <c r="E857">
        <v>3</v>
      </c>
    </row>
    <row r="858" spans="1:5" x14ac:dyDescent="0.3">
      <c r="A858" t="s">
        <v>790</v>
      </c>
      <c r="D858">
        <v>25</v>
      </c>
    </row>
    <row r="859" spans="1:5" x14ac:dyDescent="0.3">
      <c r="A859" t="s">
        <v>791</v>
      </c>
      <c r="D859">
        <v>30</v>
      </c>
    </row>
    <row r="860" spans="1:5" x14ac:dyDescent="0.3">
      <c r="A860" t="s">
        <v>792</v>
      </c>
      <c r="D860">
        <v>150</v>
      </c>
      <c r="E860">
        <v>1</v>
      </c>
    </row>
    <row r="861" spans="1:5" x14ac:dyDescent="0.3">
      <c r="A861" t="s">
        <v>827</v>
      </c>
      <c r="D861">
        <v>6</v>
      </c>
      <c r="E861">
        <v>12</v>
      </c>
    </row>
    <row r="862" spans="1:5" x14ac:dyDescent="0.3">
      <c r="A862" t="s">
        <v>793</v>
      </c>
      <c r="D862">
        <v>30</v>
      </c>
      <c r="E862">
        <v>2</v>
      </c>
    </row>
    <row r="863" spans="1:5" x14ac:dyDescent="0.3">
      <c r="A863" t="s">
        <v>794</v>
      </c>
      <c r="D863">
        <v>150</v>
      </c>
      <c r="E863">
        <v>1</v>
      </c>
    </row>
    <row r="864" spans="1:5" x14ac:dyDescent="0.3">
      <c r="A864" t="s">
        <v>795</v>
      </c>
      <c r="D864">
        <v>350</v>
      </c>
      <c r="E864">
        <v>1</v>
      </c>
    </row>
    <row r="865" spans="1:5" x14ac:dyDescent="0.3">
      <c r="A865" t="s">
        <v>796</v>
      </c>
      <c r="D865">
        <v>40</v>
      </c>
      <c r="E865">
        <v>3</v>
      </c>
    </row>
    <row r="866" spans="1:5" x14ac:dyDescent="0.3">
      <c r="A866" t="s">
        <v>797</v>
      </c>
      <c r="D866">
        <v>100</v>
      </c>
      <c r="E866">
        <v>2</v>
      </c>
    </row>
    <row r="867" spans="1:5" x14ac:dyDescent="0.3">
      <c r="A867" t="s">
        <v>798</v>
      </c>
      <c r="D867">
        <v>46</v>
      </c>
      <c r="E867">
        <v>2</v>
      </c>
    </row>
    <row r="868" spans="1:5" x14ac:dyDescent="0.3">
      <c r="A868" t="s">
        <v>800</v>
      </c>
      <c r="D868">
        <v>15</v>
      </c>
      <c r="E868">
        <v>2</v>
      </c>
    </row>
    <row r="869" spans="1:5" x14ac:dyDescent="0.3">
      <c r="A869" t="s">
        <v>824</v>
      </c>
      <c r="D869">
        <v>20</v>
      </c>
      <c r="E869">
        <v>1</v>
      </c>
    </row>
    <row r="870" spans="1:5" x14ac:dyDescent="0.3">
      <c r="A870" t="s">
        <v>807</v>
      </c>
      <c r="D870">
        <v>60</v>
      </c>
      <c r="E870">
        <v>2</v>
      </c>
    </row>
    <row r="871" spans="1:5" x14ac:dyDescent="0.3">
      <c r="A871" t="s">
        <v>808</v>
      </c>
      <c r="D871">
        <v>50</v>
      </c>
    </row>
    <row r="872" spans="1:5" x14ac:dyDescent="0.3">
      <c r="A872" t="s">
        <v>809</v>
      </c>
      <c r="D872">
        <v>40</v>
      </c>
      <c r="E872">
        <v>1</v>
      </c>
    </row>
    <row r="873" spans="1:5" x14ac:dyDescent="0.3">
      <c r="A873" t="s">
        <v>810</v>
      </c>
      <c r="D873">
        <v>40</v>
      </c>
      <c r="E873">
        <v>18</v>
      </c>
    </row>
    <row r="874" spans="1:5" x14ac:dyDescent="0.3">
      <c r="A874" t="s">
        <v>811</v>
      </c>
      <c r="D874">
        <v>40</v>
      </c>
      <c r="E874">
        <v>4</v>
      </c>
    </row>
    <row r="875" spans="1:5" x14ac:dyDescent="0.3">
      <c r="A875" t="s">
        <v>812</v>
      </c>
      <c r="D875">
        <v>40</v>
      </c>
      <c r="E875">
        <v>2</v>
      </c>
    </row>
    <row r="876" spans="1:5" x14ac:dyDescent="0.3">
      <c r="A876" t="s">
        <v>813</v>
      </c>
      <c r="D876">
        <v>40</v>
      </c>
    </row>
    <row r="877" spans="1:5" x14ac:dyDescent="0.3">
      <c r="A877" t="s">
        <v>814</v>
      </c>
      <c r="D877">
        <v>40</v>
      </c>
      <c r="E877">
        <v>3</v>
      </c>
    </row>
    <row r="878" spans="1:5" x14ac:dyDescent="0.3">
      <c r="A878" t="s">
        <v>815</v>
      </c>
      <c r="D878">
        <v>35</v>
      </c>
      <c r="E878">
        <v>1</v>
      </c>
    </row>
    <row r="879" spans="1:5" x14ac:dyDescent="0.3">
      <c r="A879" t="s">
        <v>816</v>
      </c>
      <c r="D879">
        <v>75</v>
      </c>
      <c r="E879">
        <v>2</v>
      </c>
    </row>
    <row r="880" spans="1:5" x14ac:dyDescent="0.3">
      <c r="A880" t="s">
        <v>823</v>
      </c>
      <c r="D880">
        <v>30</v>
      </c>
      <c r="E880">
        <v>7</v>
      </c>
    </row>
    <row r="881" spans="1:5" x14ac:dyDescent="0.3">
      <c r="A881" t="s">
        <v>825</v>
      </c>
      <c r="D881">
        <v>10</v>
      </c>
      <c r="E881">
        <v>1</v>
      </c>
    </row>
    <row r="882" spans="1:5" x14ac:dyDescent="0.3">
      <c r="A882" t="s">
        <v>826</v>
      </c>
      <c r="D882">
        <v>3</v>
      </c>
      <c r="E882">
        <v>1</v>
      </c>
    </row>
    <row r="883" spans="1:5" x14ac:dyDescent="0.3">
      <c r="A883" t="s">
        <v>362</v>
      </c>
      <c r="D883">
        <v>10</v>
      </c>
      <c r="E883">
        <v>1</v>
      </c>
    </row>
    <row r="884" spans="1:5" x14ac:dyDescent="0.3">
      <c r="A884" t="s">
        <v>361</v>
      </c>
      <c r="D884">
        <v>20</v>
      </c>
    </row>
    <row r="885" spans="1:5" x14ac:dyDescent="0.3">
      <c r="A885" t="s">
        <v>828</v>
      </c>
      <c r="D885">
        <v>30</v>
      </c>
      <c r="E885">
        <v>2</v>
      </c>
    </row>
    <row r="886" spans="1:5" x14ac:dyDescent="0.3">
      <c r="A886" t="s">
        <v>830</v>
      </c>
      <c r="D886">
        <v>20</v>
      </c>
      <c r="E886">
        <v>3</v>
      </c>
    </row>
    <row r="887" spans="1:5" x14ac:dyDescent="0.3">
      <c r="A887" t="s">
        <v>831</v>
      </c>
      <c r="D887">
        <v>15</v>
      </c>
      <c r="E887">
        <v>3</v>
      </c>
    </row>
    <row r="888" spans="1:5" x14ac:dyDescent="0.3">
      <c r="A888" t="s">
        <v>927</v>
      </c>
      <c r="D888">
        <v>60</v>
      </c>
      <c r="E888">
        <v>1</v>
      </c>
    </row>
    <row r="889" spans="1:5" x14ac:dyDescent="0.3">
      <c r="A889" t="s">
        <v>928</v>
      </c>
      <c r="D889">
        <v>30</v>
      </c>
      <c r="E889">
        <v>2</v>
      </c>
    </row>
    <row r="890" spans="1:5" x14ac:dyDescent="0.3">
      <c r="A890" t="s">
        <v>929</v>
      </c>
      <c r="D890">
        <v>40</v>
      </c>
      <c r="E890">
        <v>1</v>
      </c>
    </row>
    <row r="891" spans="1:5" x14ac:dyDescent="0.3">
      <c r="A891" t="s">
        <v>930</v>
      </c>
      <c r="D891">
        <v>15</v>
      </c>
      <c r="E891" s="5">
        <v>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9"/>
  <sheetViews>
    <sheetView workbookViewId="0">
      <selection activeCell="B4" sqref="B4"/>
    </sheetView>
  </sheetViews>
  <sheetFormatPr defaultRowHeight="14.4" x14ac:dyDescent="0.3"/>
  <cols>
    <col min="1" max="1" width="10.77734375" bestFit="1" customWidth="1"/>
    <col min="2" max="2" width="16.77734375" bestFit="1" customWidth="1"/>
  </cols>
  <sheetData>
    <row r="1" spans="1:7" x14ac:dyDescent="0.3">
      <c r="A1" s="1" t="s">
        <v>8</v>
      </c>
      <c r="B1" s="1" t="s">
        <v>0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s="3">
        <v>46127</v>
      </c>
      <c r="B2" t="s">
        <v>45</v>
      </c>
      <c r="C2">
        <f>IFERROR(VLOOKUP(B2,Inventory!A:G,2,FALSE),"")</f>
        <v>0</v>
      </c>
      <c r="D2">
        <v>1</v>
      </c>
      <c r="E2">
        <f>IFERROR(VLOOKUP(B2,Inventory!A:G,5,FALSE),"")</f>
        <v>2</v>
      </c>
      <c r="F2">
        <f t="shared" ref="F2:F65" si="0">D2*E2</f>
        <v>2</v>
      </c>
    </row>
    <row r="3" spans="1:7" x14ac:dyDescent="0.3">
      <c r="A3" s="3">
        <v>46127</v>
      </c>
      <c r="B3" t="s">
        <v>208</v>
      </c>
      <c r="C3">
        <f>IFERROR(VLOOKUP(B3,Inventory!A:G,2,FALSE),"")</f>
        <v>0</v>
      </c>
      <c r="D3">
        <v>2</v>
      </c>
      <c r="E3">
        <f>IFERROR(VLOOKUP(B3,Inventory!A:G,5,FALSE),"")</f>
        <v>1</v>
      </c>
      <c r="F3">
        <f t="shared" si="0"/>
        <v>2</v>
      </c>
    </row>
    <row r="4" spans="1:7" x14ac:dyDescent="0.3">
      <c r="A4" s="3">
        <v>46127</v>
      </c>
      <c r="B4" t="s">
        <v>40</v>
      </c>
      <c r="C4" t="str">
        <f>IFERROR(VLOOKUP(B4,Inventory!A:G,2,FALSE),"")</f>
        <v/>
      </c>
      <c r="D4">
        <v>2</v>
      </c>
      <c r="E4" t="str">
        <f>IFERROR(VLOOKUP(B4,Inventory!A:G,5,FALSE),"")</f>
        <v/>
      </c>
      <c r="F4" t="e">
        <f t="shared" si="0"/>
        <v>#VALUE!</v>
      </c>
    </row>
    <row r="5" spans="1:7" x14ac:dyDescent="0.3">
      <c r="C5" t="str">
        <f>IFERROR(VLOOKUP(B5,Inventory!A:G,2,FALSE),"")</f>
        <v/>
      </c>
      <c r="E5" t="str">
        <f>IFERROR(VLOOKUP(B5,Inventory!A:G,5,FALSE),"")</f>
        <v/>
      </c>
      <c r="F5" t="e">
        <f t="shared" si="0"/>
        <v>#VALUE!</v>
      </c>
    </row>
    <row r="6" spans="1:7" x14ac:dyDescent="0.3">
      <c r="C6" t="str">
        <f>IFERROR(VLOOKUP(B6,Inventory!A:G,2,FALSE),"")</f>
        <v/>
      </c>
      <c r="E6" t="str">
        <f>IFERROR(VLOOKUP(B6,Inventory!A:G,5,FALSE),"")</f>
        <v/>
      </c>
      <c r="F6" t="e">
        <f t="shared" si="0"/>
        <v>#VALUE!</v>
      </c>
    </row>
    <row r="7" spans="1:7" x14ac:dyDescent="0.3">
      <c r="C7" t="str">
        <f>IFERROR(VLOOKUP(B7,Inventory!A:G,2,FALSE),"")</f>
        <v/>
      </c>
      <c r="E7" t="str">
        <f>IFERROR(VLOOKUP(B7,Inventory!A:G,5,FALSE),"")</f>
        <v/>
      </c>
      <c r="F7" t="e">
        <f t="shared" si="0"/>
        <v>#VALUE!</v>
      </c>
    </row>
    <row r="8" spans="1:7" x14ac:dyDescent="0.3">
      <c r="C8" t="str">
        <f>IFERROR(VLOOKUP(B8,Inventory!A:G,2,FALSE),"")</f>
        <v/>
      </c>
      <c r="E8" t="str">
        <f>IFERROR(VLOOKUP(B8,Inventory!A:G,5,FALSE),"")</f>
        <v/>
      </c>
      <c r="F8" t="e">
        <f t="shared" si="0"/>
        <v>#VALUE!</v>
      </c>
    </row>
    <row r="9" spans="1:7" x14ac:dyDescent="0.3">
      <c r="C9" t="str">
        <f>IFERROR(VLOOKUP(B9,Inventory!A:G,2,FALSE),"")</f>
        <v/>
      </c>
      <c r="E9" t="str">
        <f>IFERROR(VLOOKUP(B9,Inventory!A:G,5,FALSE),"")</f>
        <v/>
      </c>
      <c r="F9" t="e">
        <f t="shared" si="0"/>
        <v>#VALUE!</v>
      </c>
    </row>
    <row r="10" spans="1:7" x14ac:dyDescent="0.3">
      <c r="C10" t="str">
        <f>IFERROR(VLOOKUP(B10,Inventory!A:G,2,FALSE),"")</f>
        <v/>
      </c>
      <c r="E10" t="str">
        <f>IFERROR(VLOOKUP(B10,Inventory!A:G,5,FALSE),"")</f>
        <v/>
      </c>
      <c r="F10" t="e">
        <f t="shared" si="0"/>
        <v>#VALUE!</v>
      </c>
    </row>
    <row r="11" spans="1:7" x14ac:dyDescent="0.3">
      <c r="C11" t="str">
        <f>IFERROR(VLOOKUP(B11,Inventory!A:G,2,FALSE),"")</f>
        <v/>
      </c>
      <c r="E11" t="str">
        <f>IFERROR(VLOOKUP(B11,Inventory!A:G,5,FALSE),"")</f>
        <v/>
      </c>
      <c r="F11" t="e">
        <f t="shared" si="0"/>
        <v>#VALUE!</v>
      </c>
    </row>
    <row r="12" spans="1:7" x14ac:dyDescent="0.3">
      <c r="C12" t="str">
        <f>IFERROR(VLOOKUP(B12,Inventory!A:G,2,FALSE),"")</f>
        <v/>
      </c>
      <c r="E12" t="str">
        <f>IFERROR(VLOOKUP(B12,Inventory!A:G,5,FALSE),"")</f>
        <v/>
      </c>
      <c r="F12" t="e">
        <f t="shared" si="0"/>
        <v>#VALUE!</v>
      </c>
    </row>
    <row r="13" spans="1:7" x14ac:dyDescent="0.3">
      <c r="C13" t="str">
        <f>IFERROR(VLOOKUP(B13,Inventory!A:G,2,FALSE),"")</f>
        <v/>
      </c>
      <c r="E13" t="str">
        <f>IFERROR(VLOOKUP(B13,Inventory!A:G,5,FALSE),"")</f>
        <v/>
      </c>
      <c r="F13" t="e">
        <f t="shared" si="0"/>
        <v>#VALUE!</v>
      </c>
    </row>
    <row r="14" spans="1:7" x14ac:dyDescent="0.3">
      <c r="C14" t="str">
        <f>IFERROR(VLOOKUP(B14,Inventory!A:G,2,FALSE),"")</f>
        <v/>
      </c>
      <c r="E14" t="str">
        <f>IFERROR(VLOOKUP(B14,Inventory!A:G,5,FALSE),"")</f>
        <v/>
      </c>
      <c r="F14" t="e">
        <f t="shared" si="0"/>
        <v>#VALUE!</v>
      </c>
    </row>
    <row r="15" spans="1:7" x14ac:dyDescent="0.3">
      <c r="C15" t="str">
        <f>IFERROR(VLOOKUP(B15,Inventory!A:G,2,FALSE),"")</f>
        <v/>
      </c>
      <c r="E15" t="str">
        <f>IFERROR(VLOOKUP(B15,Inventory!A:G,5,FALSE),"")</f>
        <v/>
      </c>
      <c r="F15" t="e">
        <f t="shared" si="0"/>
        <v>#VALUE!</v>
      </c>
    </row>
    <row r="16" spans="1:7" x14ac:dyDescent="0.3">
      <c r="C16" t="str">
        <f>IFERROR(VLOOKUP(B16,Inventory!A:G,2,FALSE),"")</f>
        <v/>
      </c>
      <c r="E16" t="str">
        <f>IFERROR(VLOOKUP(B16,Inventory!A:G,5,FALSE),"")</f>
        <v/>
      </c>
      <c r="F16" t="e">
        <f t="shared" si="0"/>
        <v>#VALUE!</v>
      </c>
    </row>
    <row r="17" spans="3:6" x14ac:dyDescent="0.3">
      <c r="C17" t="str">
        <f>IFERROR(VLOOKUP(B17,Inventory!A:G,2,FALSE),"")</f>
        <v/>
      </c>
      <c r="E17" t="str">
        <f>IFERROR(VLOOKUP(B17,Inventory!A:G,5,FALSE),"")</f>
        <v/>
      </c>
      <c r="F17" t="e">
        <f t="shared" si="0"/>
        <v>#VALUE!</v>
      </c>
    </row>
    <row r="18" spans="3:6" x14ac:dyDescent="0.3">
      <c r="C18" t="str">
        <f>IFERROR(VLOOKUP(B18,Inventory!A:G,2,FALSE),"")</f>
        <v/>
      </c>
      <c r="E18" t="str">
        <f>IFERROR(VLOOKUP(B18,Inventory!A:G,5,FALSE),"")</f>
        <v/>
      </c>
      <c r="F18" t="e">
        <f t="shared" si="0"/>
        <v>#VALUE!</v>
      </c>
    </row>
    <row r="19" spans="3:6" x14ac:dyDescent="0.3">
      <c r="C19" t="str">
        <f>IFERROR(VLOOKUP(B19,Inventory!A:G,2,FALSE),"")</f>
        <v/>
      </c>
      <c r="E19" t="str">
        <f>IFERROR(VLOOKUP(B19,Inventory!A:G,5,FALSE),"")</f>
        <v/>
      </c>
      <c r="F19" t="e">
        <f t="shared" si="0"/>
        <v>#VALUE!</v>
      </c>
    </row>
    <row r="20" spans="3:6" x14ac:dyDescent="0.3">
      <c r="C20" t="str">
        <f>IFERROR(VLOOKUP(B20,Inventory!A:G,2,FALSE),"")</f>
        <v/>
      </c>
      <c r="E20" t="str">
        <f>IFERROR(VLOOKUP(B20,Inventory!A:G,5,FALSE),"")</f>
        <v/>
      </c>
      <c r="F20" t="e">
        <f t="shared" si="0"/>
        <v>#VALUE!</v>
      </c>
    </row>
    <row r="21" spans="3:6" x14ac:dyDescent="0.3">
      <c r="C21" t="str">
        <f>IFERROR(VLOOKUP(B21,Inventory!A:G,2,FALSE),"")</f>
        <v/>
      </c>
      <c r="E21" t="str">
        <f>IFERROR(VLOOKUP(B21,Inventory!A:G,5,FALSE),"")</f>
        <v/>
      </c>
      <c r="F21" t="e">
        <f t="shared" si="0"/>
        <v>#VALUE!</v>
      </c>
    </row>
    <row r="22" spans="3:6" x14ac:dyDescent="0.3">
      <c r="C22" t="str">
        <f>IFERROR(VLOOKUP(B22,Inventory!A:G,2,FALSE),"")</f>
        <v/>
      </c>
      <c r="E22" t="str">
        <f>IFERROR(VLOOKUP(B22,Inventory!A:G,5,FALSE),"")</f>
        <v/>
      </c>
      <c r="F22" t="e">
        <f t="shared" si="0"/>
        <v>#VALUE!</v>
      </c>
    </row>
    <row r="23" spans="3:6" x14ac:dyDescent="0.3">
      <c r="C23" t="str">
        <f>IFERROR(VLOOKUP(B23,Inventory!A:G,2,FALSE),"")</f>
        <v/>
      </c>
      <c r="E23" t="str">
        <f>IFERROR(VLOOKUP(B23,Inventory!A:G,5,FALSE),"")</f>
        <v/>
      </c>
      <c r="F23" t="e">
        <f t="shared" si="0"/>
        <v>#VALUE!</v>
      </c>
    </row>
    <row r="24" spans="3:6" x14ac:dyDescent="0.3">
      <c r="C24" t="str">
        <f>IFERROR(VLOOKUP(B24,Inventory!A:G,2,FALSE),"")</f>
        <v/>
      </c>
      <c r="E24" t="str">
        <f>IFERROR(VLOOKUP(B24,Inventory!A:G,5,FALSE),"")</f>
        <v/>
      </c>
      <c r="F24" t="e">
        <f t="shared" si="0"/>
        <v>#VALUE!</v>
      </c>
    </row>
    <row r="25" spans="3:6" x14ac:dyDescent="0.3">
      <c r="C25" t="str">
        <f>IFERROR(VLOOKUP(B25,Inventory!A:G,2,FALSE),"")</f>
        <v/>
      </c>
      <c r="E25" t="str">
        <f>IFERROR(VLOOKUP(B25,Inventory!A:G,5,FALSE),"")</f>
        <v/>
      </c>
      <c r="F25" t="e">
        <f t="shared" si="0"/>
        <v>#VALUE!</v>
      </c>
    </row>
    <row r="26" spans="3:6" x14ac:dyDescent="0.3">
      <c r="C26" t="str">
        <f>IFERROR(VLOOKUP(B26,Inventory!A:G,2,FALSE),"")</f>
        <v/>
      </c>
      <c r="E26" t="str">
        <f>IFERROR(VLOOKUP(B26,Inventory!A:G,5,FALSE),"")</f>
        <v/>
      </c>
      <c r="F26" t="e">
        <f t="shared" si="0"/>
        <v>#VALUE!</v>
      </c>
    </row>
    <row r="27" spans="3:6" x14ac:dyDescent="0.3">
      <c r="C27" t="str">
        <f>IFERROR(VLOOKUP(B27,Inventory!A:G,2,FALSE),"")</f>
        <v/>
      </c>
      <c r="E27" t="str">
        <f>IFERROR(VLOOKUP(B27,Inventory!A:G,5,FALSE),"")</f>
        <v/>
      </c>
      <c r="F27" t="e">
        <f t="shared" si="0"/>
        <v>#VALUE!</v>
      </c>
    </row>
    <row r="28" spans="3:6" x14ac:dyDescent="0.3">
      <c r="C28" t="str">
        <f>IFERROR(VLOOKUP(B28,Inventory!A:G,2,FALSE),"")</f>
        <v/>
      </c>
      <c r="E28" t="str">
        <f>IFERROR(VLOOKUP(B28,Inventory!A:G,5,FALSE),"")</f>
        <v/>
      </c>
      <c r="F28" t="e">
        <f t="shared" si="0"/>
        <v>#VALUE!</v>
      </c>
    </row>
    <row r="29" spans="3:6" x14ac:dyDescent="0.3">
      <c r="C29" t="str">
        <f>IFERROR(VLOOKUP(B29,Inventory!A:G,2,FALSE),"")</f>
        <v/>
      </c>
      <c r="E29" t="str">
        <f>IFERROR(VLOOKUP(B29,Inventory!A:G,5,FALSE),"")</f>
        <v/>
      </c>
      <c r="F29" t="e">
        <f t="shared" si="0"/>
        <v>#VALUE!</v>
      </c>
    </row>
    <row r="30" spans="3:6" x14ac:dyDescent="0.3">
      <c r="C30" t="str">
        <f>IFERROR(VLOOKUP(B30,Inventory!A:G,2,FALSE),"")</f>
        <v/>
      </c>
      <c r="E30" t="str">
        <f>IFERROR(VLOOKUP(B30,Inventory!A:G,5,FALSE),"")</f>
        <v/>
      </c>
      <c r="F30" t="e">
        <f t="shared" si="0"/>
        <v>#VALUE!</v>
      </c>
    </row>
    <row r="31" spans="3:6" x14ac:dyDescent="0.3">
      <c r="C31" t="str">
        <f>IFERROR(VLOOKUP(B31,Inventory!A:G,2,FALSE),"")</f>
        <v/>
      </c>
      <c r="E31" t="str">
        <f>IFERROR(VLOOKUP(B31,Inventory!A:G,5,FALSE),"")</f>
        <v/>
      </c>
      <c r="F31" t="e">
        <f t="shared" si="0"/>
        <v>#VALUE!</v>
      </c>
    </row>
    <row r="32" spans="3:6" x14ac:dyDescent="0.3">
      <c r="C32" t="str">
        <f>IFERROR(VLOOKUP(B32,Inventory!A:G,2,FALSE),"")</f>
        <v/>
      </c>
      <c r="E32" t="str">
        <f>IFERROR(VLOOKUP(B32,Inventory!A:G,5,FALSE),"")</f>
        <v/>
      </c>
      <c r="F32" t="e">
        <f t="shared" si="0"/>
        <v>#VALUE!</v>
      </c>
    </row>
    <row r="33" spans="3:6" x14ac:dyDescent="0.3">
      <c r="C33" t="str">
        <f>IFERROR(VLOOKUP(B33,Inventory!A:G,2,FALSE),"")</f>
        <v/>
      </c>
      <c r="E33" t="str">
        <f>IFERROR(VLOOKUP(B33,Inventory!A:G,5,FALSE),"")</f>
        <v/>
      </c>
      <c r="F33" t="e">
        <f t="shared" si="0"/>
        <v>#VALUE!</v>
      </c>
    </row>
    <row r="34" spans="3:6" x14ac:dyDescent="0.3">
      <c r="C34" t="str">
        <f>IFERROR(VLOOKUP(B34,Inventory!A:G,2,FALSE),"")</f>
        <v/>
      </c>
      <c r="E34" t="str">
        <f>IFERROR(VLOOKUP(B34,Inventory!A:G,5,FALSE),"")</f>
        <v/>
      </c>
      <c r="F34" t="e">
        <f t="shared" si="0"/>
        <v>#VALUE!</v>
      </c>
    </row>
    <row r="35" spans="3:6" x14ac:dyDescent="0.3">
      <c r="C35" t="str">
        <f>IFERROR(VLOOKUP(B35,Inventory!A:G,2,FALSE),"")</f>
        <v/>
      </c>
      <c r="E35" t="str">
        <f>IFERROR(VLOOKUP(B35,Inventory!A:G,5,FALSE),"")</f>
        <v/>
      </c>
      <c r="F35" t="e">
        <f t="shared" si="0"/>
        <v>#VALUE!</v>
      </c>
    </row>
    <row r="36" spans="3:6" x14ac:dyDescent="0.3">
      <c r="C36" t="str">
        <f>IFERROR(VLOOKUP(B36,Inventory!A:G,2,FALSE),"")</f>
        <v/>
      </c>
      <c r="E36" t="str">
        <f>IFERROR(VLOOKUP(B36,Inventory!A:G,5,FALSE),"")</f>
        <v/>
      </c>
      <c r="F36" t="e">
        <f t="shared" si="0"/>
        <v>#VALUE!</v>
      </c>
    </row>
    <row r="37" spans="3:6" x14ac:dyDescent="0.3">
      <c r="C37" t="str">
        <f>IFERROR(VLOOKUP(B37,Inventory!A:G,2,FALSE),"")</f>
        <v/>
      </c>
      <c r="E37" t="str">
        <f>IFERROR(VLOOKUP(B37,Inventory!A:G,5,FALSE),"")</f>
        <v/>
      </c>
      <c r="F37" t="e">
        <f t="shared" si="0"/>
        <v>#VALUE!</v>
      </c>
    </row>
    <row r="38" spans="3:6" x14ac:dyDescent="0.3">
      <c r="C38" t="str">
        <f>IFERROR(VLOOKUP(B38,Inventory!A:G,2,FALSE),"")</f>
        <v/>
      </c>
      <c r="E38" t="str">
        <f>IFERROR(VLOOKUP(B38,Inventory!A:G,5,FALSE),"")</f>
        <v/>
      </c>
      <c r="F38" t="e">
        <f t="shared" si="0"/>
        <v>#VALUE!</v>
      </c>
    </row>
    <row r="39" spans="3:6" x14ac:dyDescent="0.3">
      <c r="C39" t="str">
        <f>IFERROR(VLOOKUP(B39,Inventory!A:G,2,FALSE),"")</f>
        <v/>
      </c>
      <c r="E39" t="str">
        <f>IFERROR(VLOOKUP(B39,Inventory!A:G,5,FALSE),"")</f>
        <v/>
      </c>
      <c r="F39" t="e">
        <f t="shared" si="0"/>
        <v>#VALUE!</v>
      </c>
    </row>
    <row r="40" spans="3:6" x14ac:dyDescent="0.3">
      <c r="C40" t="str">
        <f>IFERROR(VLOOKUP(B40,Inventory!A:G,2,FALSE),"")</f>
        <v/>
      </c>
      <c r="E40" t="str">
        <f>IFERROR(VLOOKUP(B40,Inventory!A:G,5,FALSE),"")</f>
        <v/>
      </c>
      <c r="F40" t="e">
        <f t="shared" si="0"/>
        <v>#VALUE!</v>
      </c>
    </row>
    <row r="41" spans="3:6" x14ac:dyDescent="0.3">
      <c r="C41" t="str">
        <f>IFERROR(VLOOKUP(B41,Inventory!A:G,2,FALSE),"")</f>
        <v/>
      </c>
      <c r="E41" t="str">
        <f>IFERROR(VLOOKUP(B41,Inventory!A:G,5,FALSE),"")</f>
        <v/>
      </c>
      <c r="F41" t="e">
        <f t="shared" si="0"/>
        <v>#VALUE!</v>
      </c>
    </row>
    <row r="42" spans="3:6" x14ac:dyDescent="0.3">
      <c r="C42" t="str">
        <f>IFERROR(VLOOKUP(B42,Inventory!A:G,2,FALSE),"")</f>
        <v/>
      </c>
      <c r="E42" t="str">
        <f>IFERROR(VLOOKUP(B42,Inventory!A:G,5,FALSE),"")</f>
        <v/>
      </c>
      <c r="F42" t="e">
        <f t="shared" si="0"/>
        <v>#VALUE!</v>
      </c>
    </row>
    <row r="43" spans="3:6" x14ac:dyDescent="0.3">
      <c r="C43" t="str">
        <f>IFERROR(VLOOKUP(B43,Inventory!A:G,2,FALSE),"")</f>
        <v/>
      </c>
      <c r="E43" t="str">
        <f>IFERROR(VLOOKUP(B43,Inventory!A:G,5,FALSE),"")</f>
        <v/>
      </c>
      <c r="F43" t="e">
        <f t="shared" si="0"/>
        <v>#VALUE!</v>
      </c>
    </row>
    <row r="44" spans="3:6" x14ac:dyDescent="0.3">
      <c r="C44" t="str">
        <f>IFERROR(VLOOKUP(B44,Inventory!A:G,2,FALSE),"")</f>
        <v/>
      </c>
      <c r="E44" t="str">
        <f>IFERROR(VLOOKUP(B44,Inventory!A:G,5,FALSE),"")</f>
        <v/>
      </c>
      <c r="F44" t="e">
        <f t="shared" si="0"/>
        <v>#VALUE!</v>
      </c>
    </row>
    <row r="45" spans="3:6" x14ac:dyDescent="0.3">
      <c r="C45" t="str">
        <f>IFERROR(VLOOKUP(B45,Inventory!A:G,2,FALSE),"")</f>
        <v/>
      </c>
      <c r="E45" t="str">
        <f>IFERROR(VLOOKUP(B45,Inventory!A:G,5,FALSE),"")</f>
        <v/>
      </c>
      <c r="F45" t="e">
        <f t="shared" si="0"/>
        <v>#VALUE!</v>
      </c>
    </row>
    <row r="46" spans="3:6" x14ac:dyDescent="0.3">
      <c r="C46" t="str">
        <f>IFERROR(VLOOKUP(B46,Inventory!A:G,2,FALSE),"")</f>
        <v/>
      </c>
      <c r="E46" t="str">
        <f>IFERROR(VLOOKUP(B46,Inventory!A:G,5,FALSE),"")</f>
        <v/>
      </c>
      <c r="F46" t="e">
        <f t="shared" si="0"/>
        <v>#VALUE!</v>
      </c>
    </row>
    <row r="47" spans="3:6" x14ac:dyDescent="0.3">
      <c r="C47" t="str">
        <f>IFERROR(VLOOKUP(B47,Inventory!A:G,2,FALSE),"")</f>
        <v/>
      </c>
      <c r="E47" t="str">
        <f>IFERROR(VLOOKUP(B47,Inventory!A:G,5,FALSE),"")</f>
        <v/>
      </c>
      <c r="F47" t="e">
        <f t="shared" si="0"/>
        <v>#VALUE!</v>
      </c>
    </row>
    <row r="48" spans="3:6" x14ac:dyDescent="0.3">
      <c r="C48" t="str">
        <f>IFERROR(VLOOKUP(B48,Inventory!A:G,2,FALSE),"")</f>
        <v/>
      </c>
      <c r="E48" t="str">
        <f>IFERROR(VLOOKUP(B48,Inventory!A:G,5,FALSE),"")</f>
        <v/>
      </c>
      <c r="F48" t="e">
        <f t="shared" si="0"/>
        <v>#VALUE!</v>
      </c>
    </row>
    <row r="49" spans="3:6" x14ac:dyDescent="0.3">
      <c r="C49" t="str">
        <f>IFERROR(VLOOKUP(B49,Inventory!A:G,2,FALSE),"")</f>
        <v/>
      </c>
      <c r="E49" t="str">
        <f>IFERROR(VLOOKUP(B49,Inventory!A:G,5,FALSE),"")</f>
        <v/>
      </c>
      <c r="F49" t="e">
        <f t="shared" si="0"/>
        <v>#VALUE!</v>
      </c>
    </row>
    <row r="50" spans="3:6" x14ac:dyDescent="0.3">
      <c r="C50" t="str">
        <f>IFERROR(VLOOKUP(B50,Inventory!A:G,2,FALSE),"")</f>
        <v/>
      </c>
      <c r="E50" t="str">
        <f>IFERROR(VLOOKUP(B50,Inventory!A:G,5,FALSE),"")</f>
        <v/>
      </c>
      <c r="F50" t="e">
        <f t="shared" si="0"/>
        <v>#VALUE!</v>
      </c>
    </row>
    <row r="51" spans="3:6" x14ac:dyDescent="0.3">
      <c r="C51" t="str">
        <f>IFERROR(VLOOKUP(B51,Inventory!A:G,2,FALSE),"")</f>
        <v/>
      </c>
      <c r="E51" t="str">
        <f>IFERROR(VLOOKUP(B51,Inventory!A:G,5,FALSE),"")</f>
        <v/>
      </c>
      <c r="F51" t="e">
        <f t="shared" si="0"/>
        <v>#VALUE!</v>
      </c>
    </row>
    <row r="52" spans="3:6" x14ac:dyDescent="0.3">
      <c r="C52" t="str">
        <f>IFERROR(VLOOKUP(B52,Inventory!A:G,2,FALSE),"")</f>
        <v/>
      </c>
      <c r="E52" t="str">
        <f>IFERROR(VLOOKUP(B52,Inventory!A:G,5,FALSE),"")</f>
        <v/>
      </c>
      <c r="F52" t="e">
        <f t="shared" si="0"/>
        <v>#VALUE!</v>
      </c>
    </row>
    <row r="53" spans="3:6" x14ac:dyDescent="0.3">
      <c r="C53" t="str">
        <f>IFERROR(VLOOKUP(B53,Inventory!A:G,2,FALSE),"")</f>
        <v/>
      </c>
      <c r="E53" t="str">
        <f>IFERROR(VLOOKUP(B53,Inventory!A:G,5,FALSE),"")</f>
        <v/>
      </c>
      <c r="F53" t="e">
        <f t="shared" si="0"/>
        <v>#VALUE!</v>
      </c>
    </row>
    <row r="54" spans="3:6" x14ac:dyDescent="0.3">
      <c r="C54" t="str">
        <f>IFERROR(VLOOKUP(B54,Inventory!A:G,2,FALSE),"")</f>
        <v/>
      </c>
      <c r="E54" t="str">
        <f>IFERROR(VLOOKUP(B54,Inventory!A:G,5,FALSE),"")</f>
        <v/>
      </c>
      <c r="F54" t="e">
        <f t="shared" si="0"/>
        <v>#VALUE!</v>
      </c>
    </row>
    <row r="55" spans="3:6" x14ac:dyDescent="0.3">
      <c r="C55" t="str">
        <f>IFERROR(VLOOKUP(B55,Inventory!A:G,2,FALSE),"")</f>
        <v/>
      </c>
      <c r="E55" t="str">
        <f>IFERROR(VLOOKUP(B55,Inventory!A:G,5,FALSE),"")</f>
        <v/>
      </c>
      <c r="F55" t="e">
        <f t="shared" si="0"/>
        <v>#VALUE!</v>
      </c>
    </row>
    <row r="56" spans="3:6" x14ac:dyDescent="0.3">
      <c r="C56" t="str">
        <f>IFERROR(VLOOKUP(B56,Inventory!A:G,2,FALSE),"")</f>
        <v/>
      </c>
      <c r="E56" t="str">
        <f>IFERROR(VLOOKUP(B56,Inventory!A:G,5,FALSE),"")</f>
        <v/>
      </c>
      <c r="F56" t="e">
        <f t="shared" si="0"/>
        <v>#VALUE!</v>
      </c>
    </row>
    <row r="57" spans="3:6" x14ac:dyDescent="0.3">
      <c r="C57" t="str">
        <f>IFERROR(VLOOKUP(B57,Inventory!A:G,2,FALSE),"")</f>
        <v/>
      </c>
      <c r="E57" t="str">
        <f>IFERROR(VLOOKUP(B57,Inventory!A:G,5,FALSE),"")</f>
        <v/>
      </c>
      <c r="F57" t="e">
        <f t="shared" si="0"/>
        <v>#VALUE!</v>
      </c>
    </row>
    <row r="58" spans="3:6" x14ac:dyDescent="0.3">
      <c r="C58" t="str">
        <f>IFERROR(VLOOKUP(B58,Inventory!A:G,2,FALSE),"")</f>
        <v/>
      </c>
      <c r="E58" t="str">
        <f>IFERROR(VLOOKUP(B58,Inventory!A:G,5,FALSE),"")</f>
        <v/>
      </c>
      <c r="F58" t="e">
        <f t="shared" si="0"/>
        <v>#VALUE!</v>
      </c>
    </row>
    <row r="59" spans="3:6" x14ac:dyDescent="0.3">
      <c r="C59" t="str">
        <f>IFERROR(VLOOKUP(B59,Inventory!A:G,2,FALSE),"")</f>
        <v/>
      </c>
      <c r="E59" t="str">
        <f>IFERROR(VLOOKUP(B59,Inventory!A:G,5,FALSE),"")</f>
        <v/>
      </c>
      <c r="F59" t="e">
        <f t="shared" si="0"/>
        <v>#VALUE!</v>
      </c>
    </row>
    <row r="60" spans="3:6" x14ac:dyDescent="0.3">
      <c r="C60" t="str">
        <f>IFERROR(VLOOKUP(B60,Inventory!A:G,2,FALSE),"")</f>
        <v/>
      </c>
      <c r="E60" t="str">
        <f>IFERROR(VLOOKUP(B60,Inventory!A:G,5,FALSE),"")</f>
        <v/>
      </c>
      <c r="F60" t="e">
        <f t="shared" si="0"/>
        <v>#VALUE!</v>
      </c>
    </row>
    <row r="61" spans="3:6" x14ac:dyDescent="0.3">
      <c r="C61" t="str">
        <f>IFERROR(VLOOKUP(B61,Inventory!A:G,2,FALSE),"")</f>
        <v/>
      </c>
      <c r="E61" t="str">
        <f>IFERROR(VLOOKUP(B61,Inventory!A:G,5,FALSE),"")</f>
        <v/>
      </c>
      <c r="F61" t="e">
        <f t="shared" si="0"/>
        <v>#VALUE!</v>
      </c>
    </row>
    <row r="62" spans="3:6" x14ac:dyDescent="0.3">
      <c r="C62" t="str">
        <f>IFERROR(VLOOKUP(B62,Inventory!A:G,2,FALSE),"")</f>
        <v/>
      </c>
      <c r="E62" t="str">
        <f>IFERROR(VLOOKUP(B62,Inventory!A:G,5,FALSE),"")</f>
        <v/>
      </c>
      <c r="F62" t="e">
        <f t="shared" si="0"/>
        <v>#VALUE!</v>
      </c>
    </row>
    <row r="63" spans="3:6" x14ac:dyDescent="0.3">
      <c r="C63" t="str">
        <f>IFERROR(VLOOKUP(B63,Inventory!A:G,2,FALSE),"")</f>
        <v/>
      </c>
      <c r="E63" t="str">
        <f>IFERROR(VLOOKUP(B63,Inventory!A:G,5,FALSE),"")</f>
        <v/>
      </c>
      <c r="F63" t="e">
        <f t="shared" si="0"/>
        <v>#VALUE!</v>
      </c>
    </row>
    <row r="64" spans="3:6" x14ac:dyDescent="0.3">
      <c r="C64" t="str">
        <f>IFERROR(VLOOKUP(B64,Inventory!A:G,2,FALSE),"")</f>
        <v/>
      </c>
      <c r="E64" t="str">
        <f>IFERROR(VLOOKUP(B64,Inventory!A:G,5,FALSE),"")</f>
        <v/>
      </c>
      <c r="F64" t="e">
        <f t="shared" si="0"/>
        <v>#VALUE!</v>
      </c>
    </row>
    <row r="65" spans="3:6" x14ac:dyDescent="0.3">
      <c r="C65" t="str">
        <f>IFERROR(VLOOKUP(B65,Inventory!A:G,2,FALSE),"")</f>
        <v/>
      </c>
      <c r="E65" t="str">
        <f>IFERROR(VLOOKUP(B65,Inventory!A:G,5,FALSE),"")</f>
        <v/>
      </c>
      <c r="F65" t="e">
        <f t="shared" si="0"/>
        <v>#VALUE!</v>
      </c>
    </row>
    <row r="66" spans="3:6" x14ac:dyDescent="0.3">
      <c r="C66" t="str">
        <f>IFERROR(VLOOKUP(B66,Inventory!A:G,2,FALSE),"")</f>
        <v/>
      </c>
      <c r="E66" t="str">
        <f>IFERROR(VLOOKUP(B66,Inventory!A:G,5,FALSE),"")</f>
        <v/>
      </c>
      <c r="F66" t="e">
        <f t="shared" ref="F66:F129" si="1">D66*E66</f>
        <v>#VALUE!</v>
      </c>
    </row>
    <row r="67" spans="3:6" x14ac:dyDescent="0.3">
      <c r="C67" t="str">
        <f>IFERROR(VLOOKUP(B67,Inventory!A:G,2,FALSE),"")</f>
        <v/>
      </c>
      <c r="E67" t="str">
        <f>IFERROR(VLOOKUP(B67,Inventory!A:G,5,FALSE),"")</f>
        <v/>
      </c>
      <c r="F67" t="e">
        <f t="shared" si="1"/>
        <v>#VALUE!</v>
      </c>
    </row>
    <row r="68" spans="3:6" x14ac:dyDescent="0.3">
      <c r="C68" t="str">
        <f>IFERROR(VLOOKUP(B68,Inventory!A:G,2,FALSE),"")</f>
        <v/>
      </c>
      <c r="E68" t="str">
        <f>IFERROR(VLOOKUP(B68,Inventory!A:G,5,FALSE),"")</f>
        <v/>
      </c>
      <c r="F68" t="e">
        <f t="shared" si="1"/>
        <v>#VALUE!</v>
      </c>
    </row>
    <row r="69" spans="3:6" x14ac:dyDescent="0.3">
      <c r="C69" t="str">
        <f>IFERROR(VLOOKUP(B69,Inventory!A:G,2,FALSE),"")</f>
        <v/>
      </c>
      <c r="E69" t="str">
        <f>IFERROR(VLOOKUP(B69,Inventory!A:G,5,FALSE),"")</f>
        <v/>
      </c>
      <c r="F69" t="e">
        <f t="shared" si="1"/>
        <v>#VALUE!</v>
      </c>
    </row>
    <row r="70" spans="3:6" x14ac:dyDescent="0.3">
      <c r="C70" t="str">
        <f>IFERROR(VLOOKUP(B70,Inventory!A:G,2,FALSE),"")</f>
        <v/>
      </c>
      <c r="E70" t="str">
        <f>IFERROR(VLOOKUP(B70,Inventory!A:G,5,FALSE),"")</f>
        <v/>
      </c>
      <c r="F70" t="e">
        <f t="shared" si="1"/>
        <v>#VALUE!</v>
      </c>
    </row>
    <row r="71" spans="3:6" x14ac:dyDescent="0.3">
      <c r="C71" t="str">
        <f>IFERROR(VLOOKUP(B71,Inventory!A:G,2,FALSE),"")</f>
        <v/>
      </c>
      <c r="E71" t="str">
        <f>IFERROR(VLOOKUP(B71,Inventory!A:G,5,FALSE),"")</f>
        <v/>
      </c>
      <c r="F71" t="e">
        <f t="shared" si="1"/>
        <v>#VALUE!</v>
      </c>
    </row>
    <row r="72" spans="3:6" x14ac:dyDescent="0.3">
      <c r="C72" t="str">
        <f>IFERROR(VLOOKUP(B72,Inventory!A:G,2,FALSE),"")</f>
        <v/>
      </c>
      <c r="E72" t="str">
        <f>IFERROR(VLOOKUP(B72,Inventory!A:G,5,FALSE),"")</f>
        <v/>
      </c>
      <c r="F72" t="e">
        <f t="shared" si="1"/>
        <v>#VALUE!</v>
      </c>
    </row>
    <row r="73" spans="3:6" x14ac:dyDescent="0.3">
      <c r="C73" t="str">
        <f>IFERROR(VLOOKUP(B73,Inventory!A:G,2,FALSE),"")</f>
        <v/>
      </c>
      <c r="E73" t="str">
        <f>IFERROR(VLOOKUP(B73,Inventory!A:G,5,FALSE),"")</f>
        <v/>
      </c>
      <c r="F73" t="e">
        <f t="shared" si="1"/>
        <v>#VALUE!</v>
      </c>
    </row>
    <row r="74" spans="3:6" x14ac:dyDescent="0.3">
      <c r="C74" t="str">
        <f>IFERROR(VLOOKUP(B74,Inventory!A:G,2,FALSE),"")</f>
        <v/>
      </c>
      <c r="E74" t="str">
        <f>IFERROR(VLOOKUP(B74,Inventory!A:G,5,FALSE),"")</f>
        <v/>
      </c>
      <c r="F74" t="e">
        <f t="shared" si="1"/>
        <v>#VALUE!</v>
      </c>
    </row>
    <row r="75" spans="3:6" x14ac:dyDescent="0.3">
      <c r="C75" t="str">
        <f>IFERROR(VLOOKUP(B75,Inventory!A:G,2,FALSE),"")</f>
        <v/>
      </c>
      <c r="E75" t="str">
        <f>IFERROR(VLOOKUP(B75,Inventory!A:G,5,FALSE),"")</f>
        <v/>
      </c>
      <c r="F75" t="e">
        <f t="shared" si="1"/>
        <v>#VALUE!</v>
      </c>
    </row>
    <row r="76" spans="3:6" x14ac:dyDescent="0.3">
      <c r="C76" t="str">
        <f>IFERROR(VLOOKUP(B76,Inventory!A:G,2,FALSE),"")</f>
        <v/>
      </c>
      <c r="E76" t="str">
        <f>IFERROR(VLOOKUP(B76,Inventory!A:G,5,FALSE),"")</f>
        <v/>
      </c>
      <c r="F76" t="e">
        <f t="shared" si="1"/>
        <v>#VALUE!</v>
      </c>
    </row>
    <row r="77" spans="3:6" x14ac:dyDescent="0.3">
      <c r="C77" t="str">
        <f>IFERROR(VLOOKUP(B77,Inventory!A:G,2,FALSE),"")</f>
        <v/>
      </c>
      <c r="E77" t="str">
        <f>IFERROR(VLOOKUP(B77,Inventory!A:G,5,FALSE),"")</f>
        <v/>
      </c>
      <c r="F77" t="e">
        <f t="shared" si="1"/>
        <v>#VALUE!</v>
      </c>
    </row>
    <row r="78" spans="3:6" x14ac:dyDescent="0.3">
      <c r="C78" t="str">
        <f>IFERROR(VLOOKUP(B78,Inventory!A:G,2,FALSE),"")</f>
        <v/>
      </c>
      <c r="E78" t="str">
        <f>IFERROR(VLOOKUP(B78,Inventory!A:G,5,FALSE),"")</f>
        <v/>
      </c>
      <c r="F78" t="e">
        <f t="shared" si="1"/>
        <v>#VALUE!</v>
      </c>
    </row>
    <row r="79" spans="3:6" x14ac:dyDescent="0.3">
      <c r="C79" t="str">
        <f>IFERROR(VLOOKUP(B79,Inventory!A:G,2,FALSE),"")</f>
        <v/>
      </c>
      <c r="E79" t="str">
        <f>IFERROR(VLOOKUP(B79,Inventory!A:G,5,FALSE),"")</f>
        <v/>
      </c>
      <c r="F79" t="e">
        <f t="shared" si="1"/>
        <v>#VALUE!</v>
      </c>
    </row>
    <row r="80" spans="3:6" x14ac:dyDescent="0.3">
      <c r="C80" t="str">
        <f>IFERROR(VLOOKUP(B80,Inventory!A:G,2,FALSE),"")</f>
        <v/>
      </c>
      <c r="E80" t="str">
        <f>IFERROR(VLOOKUP(B80,Inventory!A:G,5,FALSE),"")</f>
        <v/>
      </c>
      <c r="F80" t="e">
        <f t="shared" si="1"/>
        <v>#VALUE!</v>
      </c>
    </row>
    <row r="81" spans="3:6" x14ac:dyDescent="0.3">
      <c r="C81" t="str">
        <f>IFERROR(VLOOKUP(B81,Inventory!A:G,2,FALSE),"")</f>
        <v/>
      </c>
      <c r="E81" t="str">
        <f>IFERROR(VLOOKUP(B81,Inventory!A:G,5,FALSE),"")</f>
        <v/>
      </c>
      <c r="F81" t="e">
        <f t="shared" si="1"/>
        <v>#VALUE!</v>
      </c>
    </row>
    <row r="82" spans="3:6" x14ac:dyDescent="0.3">
      <c r="C82" t="str">
        <f>IFERROR(VLOOKUP(B82,Inventory!A:G,2,FALSE),"")</f>
        <v/>
      </c>
      <c r="E82" t="str">
        <f>IFERROR(VLOOKUP(B82,Inventory!A:G,5,FALSE),"")</f>
        <v/>
      </c>
      <c r="F82" t="e">
        <f t="shared" si="1"/>
        <v>#VALUE!</v>
      </c>
    </row>
    <row r="83" spans="3:6" x14ac:dyDescent="0.3">
      <c r="C83" t="str">
        <f>IFERROR(VLOOKUP(B83,Inventory!A:G,2,FALSE),"")</f>
        <v/>
      </c>
      <c r="E83" t="str">
        <f>IFERROR(VLOOKUP(B83,Inventory!A:G,5,FALSE),"")</f>
        <v/>
      </c>
      <c r="F83" t="e">
        <f t="shared" si="1"/>
        <v>#VALUE!</v>
      </c>
    </row>
    <row r="84" spans="3:6" x14ac:dyDescent="0.3">
      <c r="C84" t="str">
        <f>IFERROR(VLOOKUP(B84,Inventory!A:G,2,FALSE),"")</f>
        <v/>
      </c>
      <c r="E84" t="str">
        <f>IFERROR(VLOOKUP(B84,Inventory!A:G,5,FALSE),"")</f>
        <v/>
      </c>
      <c r="F84" t="e">
        <f t="shared" si="1"/>
        <v>#VALUE!</v>
      </c>
    </row>
    <row r="85" spans="3:6" x14ac:dyDescent="0.3">
      <c r="C85" t="str">
        <f>IFERROR(VLOOKUP(B85,Inventory!A:G,2,FALSE),"")</f>
        <v/>
      </c>
      <c r="E85" t="str">
        <f>IFERROR(VLOOKUP(B85,Inventory!A:G,5,FALSE),"")</f>
        <v/>
      </c>
      <c r="F85" t="e">
        <f t="shared" si="1"/>
        <v>#VALUE!</v>
      </c>
    </row>
    <row r="86" spans="3:6" x14ac:dyDescent="0.3">
      <c r="C86" t="str">
        <f>IFERROR(VLOOKUP(B86,Inventory!A:G,2,FALSE),"")</f>
        <v/>
      </c>
      <c r="E86" t="str">
        <f>IFERROR(VLOOKUP(B86,Inventory!A:G,5,FALSE),"")</f>
        <v/>
      </c>
      <c r="F86" t="e">
        <f t="shared" si="1"/>
        <v>#VALUE!</v>
      </c>
    </row>
    <row r="87" spans="3:6" x14ac:dyDescent="0.3">
      <c r="C87" t="str">
        <f>IFERROR(VLOOKUP(B87,Inventory!A:G,2,FALSE),"")</f>
        <v/>
      </c>
      <c r="E87" t="str">
        <f>IFERROR(VLOOKUP(B87,Inventory!A:G,5,FALSE),"")</f>
        <v/>
      </c>
      <c r="F87" t="e">
        <f t="shared" si="1"/>
        <v>#VALUE!</v>
      </c>
    </row>
    <row r="88" spans="3:6" x14ac:dyDescent="0.3">
      <c r="C88" t="str">
        <f>IFERROR(VLOOKUP(B88,Inventory!A:G,2,FALSE),"")</f>
        <v/>
      </c>
      <c r="E88" t="str">
        <f>IFERROR(VLOOKUP(B88,Inventory!A:G,5,FALSE),"")</f>
        <v/>
      </c>
      <c r="F88" t="e">
        <f t="shared" si="1"/>
        <v>#VALUE!</v>
      </c>
    </row>
    <row r="89" spans="3:6" x14ac:dyDescent="0.3">
      <c r="C89" t="str">
        <f>IFERROR(VLOOKUP(B89,Inventory!A:G,2,FALSE),"")</f>
        <v/>
      </c>
      <c r="E89" t="str">
        <f>IFERROR(VLOOKUP(B89,Inventory!A:G,5,FALSE),"")</f>
        <v/>
      </c>
      <c r="F89" t="e">
        <f t="shared" si="1"/>
        <v>#VALUE!</v>
      </c>
    </row>
    <row r="90" spans="3:6" x14ac:dyDescent="0.3">
      <c r="C90" t="str">
        <f>IFERROR(VLOOKUP(B90,Inventory!A:G,2,FALSE),"")</f>
        <v/>
      </c>
      <c r="E90" t="str">
        <f>IFERROR(VLOOKUP(B90,Inventory!A:G,5,FALSE),"")</f>
        <v/>
      </c>
      <c r="F90" t="e">
        <f t="shared" si="1"/>
        <v>#VALUE!</v>
      </c>
    </row>
    <row r="91" spans="3:6" x14ac:dyDescent="0.3">
      <c r="C91" t="str">
        <f>IFERROR(VLOOKUP(B91,Inventory!A:G,2,FALSE),"")</f>
        <v/>
      </c>
      <c r="E91" t="str">
        <f>IFERROR(VLOOKUP(B91,Inventory!A:G,5,FALSE),"")</f>
        <v/>
      </c>
      <c r="F91" t="e">
        <f t="shared" si="1"/>
        <v>#VALUE!</v>
      </c>
    </row>
    <row r="92" spans="3:6" x14ac:dyDescent="0.3">
      <c r="C92" t="str">
        <f>IFERROR(VLOOKUP(B92,Inventory!A:G,2,FALSE),"")</f>
        <v/>
      </c>
      <c r="E92" t="str">
        <f>IFERROR(VLOOKUP(B92,Inventory!A:G,5,FALSE),"")</f>
        <v/>
      </c>
      <c r="F92" t="e">
        <f t="shared" si="1"/>
        <v>#VALUE!</v>
      </c>
    </row>
    <row r="93" spans="3:6" x14ac:dyDescent="0.3">
      <c r="C93" t="str">
        <f>IFERROR(VLOOKUP(B93,Inventory!A:G,2,FALSE),"")</f>
        <v/>
      </c>
      <c r="E93" t="str">
        <f>IFERROR(VLOOKUP(B93,Inventory!A:G,5,FALSE),"")</f>
        <v/>
      </c>
      <c r="F93" t="e">
        <f t="shared" si="1"/>
        <v>#VALUE!</v>
      </c>
    </row>
    <row r="94" spans="3:6" x14ac:dyDescent="0.3">
      <c r="C94" t="str">
        <f>IFERROR(VLOOKUP(B94,Inventory!A:G,2,FALSE),"")</f>
        <v/>
      </c>
      <c r="E94" t="str">
        <f>IFERROR(VLOOKUP(B94,Inventory!A:G,5,FALSE),"")</f>
        <v/>
      </c>
      <c r="F94" t="e">
        <f t="shared" si="1"/>
        <v>#VALUE!</v>
      </c>
    </row>
    <row r="95" spans="3:6" x14ac:dyDescent="0.3">
      <c r="C95" t="str">
        <f>IFERROR(VLOOKUP(B95,Inventory!A:G,2,FALSE),"")</f>
        <v/>
      </c>
      <c r="E95" t="str">
        <f>IFERROR(VLOOKUP(B95,Inventory!A:G,5,FALSE),"")</f>
        <v/>
      </c>
      <c r="F95" t="e">
        <f t="shared" si="1"/>
        <v>#VALUE!</v>
      </c>
    </row>
    <row r="96" spans="3:6" x14ac:dyDescent="0.3">
      <c r="C96" t="str">
        <f>IFERROR(VLOOKUP(B96,Inventory!A:G,2,FALSE),"")</f>
        <v/>
      </c>
      <c r="E96" t="str">
        <f>IFERROR(VLOOKUP(B96,Inventory!A:G,5,FALSE),"")</f>
        <v/>
      </c>
      <c r="F96" t="e">
        <f t="shared" si="1"/>
        <v>#VALUE!</v>
      </c>
    </row>
    <row r="97" spans="3:6" x14ac:dyDescent="0.3">
      <c r="C97" t="str">
        <f>IFERROR(VLOOKUP(B97,Inventory!A:G,2,FALSE),"")</f>
        <v/>
      </c>
      <c r="E97" t="str">
        <f>IFERROR(VLOOKUP(B97,Inventory!A:G,5,FALSE),"")</f>
        <v/>
      </c>
      <c r="F97" t="e">
        <f t="shared" si="1"/>
        <v>#VALUE!</v>
      </c>
    </row>
    <row r="98" spans="3:6" x14ac:dyDescent="0.3">
      <c r="C98" t="str">
        <f>IFERROR(VLOOKUP(B98,Inventory!A:G,2,FALSE),"")</f>
        <v/>
      </c>
      <c r="E98" t="str">
        <f>IFERROR(VLOOKUP(B98,Inventory!A:G,5,FALSE),"")</f>
        <v/>
      </c>
      <c r="F98" t="e">
        <f t="shared" si="1"/>
        <v>#VALUE!</v>
      </c>
    </row>
    <row r="99" spans="3:6" x14ac:dyDescent="0.3">
      <c r="C99" t="str">
        <f>IFERROR(VLOOKUP(B99,Inventory!A:G,2,FALSE),"")</f>
        <v/>
      </c>
      <c r="E99" t="str">
        <f>IFERROR(VLOOKUP(B99,Inventory!A:G,5,FALSE),"")</f>
        <v/>
      </c>
      <c r="F99" t="e">
        <f t="shared" si="1"/>
        <v>#VALUE!</v>
      </c>
    </row>
    <row r="100" spans="3:6" x14ac:dyDescent="0.3">
      <c r="C100" t="str">
        <f>IFERROR(VLOOKUP(B100,Inventory!A:G,2,FALSE),"")</f>
        <v/>
      </c>
      <c r="E100" t="str">
        <f>IFERROR(VLOOKUP(B100,Inventory!A:G,5,FALSE),"")</f>
        <v/>
      </c>
      <c r="F100" t="e">
        <f t="shared" si="1"/>
        <v>#VALUE!</v>
      </c>
    </row>
    <row r="101" spans="3:6" x14ac:dyDescent="0.3">
      <c r="C101" t="str">
        <f>IFERROR(VLOOKUP(B101,Inventory!A:G,2,FALSE),"")</f>
        <v/>
      </c>
      <c r="E101" t="str">
        <f>IFERROR(VLOOKUP(B101,Inventory!A:G,5,FALSE),"")</f>
        <v/>
      </c>
      <c r="F101" t="e">
        <f t="shared" si="1"/>
        <v>#VALUE!</v>
      </c>
    </row>
    <row r="102" spans="3:6" x14ac:dyDescent="0.3">
      <c r="C102" t="str">
        <f>IFERROR(VLOOKUP(B102,Inventory!A:G,2,FALSE),"")</f>
        <v/>
      </c>
      <c r="E102" t="str">
        <f>IFERROR(VLOOKUP(B102,Inventory!A:G,5,FALSE),"")</f>
        <v/>
      </c>
      <c r="F102" t="e">
        <f t="shared" si="1"/>
        <v>#VALUE!</v>
      </c>
    </row>
    <row r="103" spans="3:6" x14ac:dyDescent="0.3">
      <c r="C103" t="str">
        <f>IFERROR(VLOOKUP(B103,Inventory!A:G,2,FALSE),"")</f>
        <v/>
      </c>
      <c r="E103" t="str">
        <f>IFERROR(VLOOKUP(B103,Inventory!A:G,5,FALSE),"")</f>
        <v/>
      </c>
      <c r="F103" t="e">
        <f t="shared" si="1"/>
        <v>#VALUE!</v>
      </c>
    </row>
    <row r="104" spans="3:6" x14ac:dyDescent="0.3">
      <c r="C104" t="str">
        <f>IFERROR(VLOOKUP(B104,Inventory!A:G,2,FALSE),"")</f>
        <v/>
      </c>
      <c r="E104" t="str">
        <f>IFERROR(VLOOKUP(B104,Inventory!A:G,5,FALSE),"")</f>
        <v/>
      </c>
      <c r="F104" t="e">
        <f t="shared" si="1"/>
        <v>#VALUE!</v>
      </c>
    </row>
    <row r="105" spans="3:6" x14ac:dyDescent="0.3">
      <c r="C105" t="str">
        <f>IFERROR(VLOOKUP(B105,Inventory!A:G,2,FALSE),"")</f>
        <v/>
      </c>
      <c r="E105" t="str">
        <f>IFERROR(VLOOKUP(B105,Inventory!A:G,5,FALSE),"")</f>
        <v/>
      </c>
      <c r="F105" t="e">
        <f t="shared" si="1"/>
        <v>#VALUE!</v>
      </c>
    </row>
    <row r="106" spans="3:6" x14ac:dyDescent="0.3">
      <c r="C106" t="str">
        <f>IFERROR(VLOOKUP(B106,Inventory!A:G,2,FALSE),"")</f>
        <v/>
      </c>
      <c r="E106" t="str">
        <f>IFERROR(VLOOKUP(B106,Inventory!A:G,5,FALSE),"")</f>
        <v/>
      </c>
      <c r="F106" t="e">
        <f t="shared" si="1"/>
        <v>#VALUE!</v>
      </c>
    </row>
    <row r="107" spans="3:6" x14ac:dyDescent="0.3">
      <c r="C107" t="str">
        <f>IFERROR(VLOOKUP(B107,Inventory!A:G,2,FALSE),"")</f>
        <v/>
      </c>
      <c r="E107" t="str">
        <f>IFERROR(VLOOKUP(B107,Inventory!A:G,5,FALSE),"")</f>
        <v/>
      </c>
      <c r="F107" t="e">
        <f t="shared" si="1"/>
        <v>#VALUE!</v>
      </c>
    </row>
    <row r="108" spans="3:6" x14ac:dyDescent="0.3">
      <c r="C108" t="str">
        <f>IFERROR(VLOOKUP(B108,Inventory!A:G,2,FALSE),"")</f>
        <v/>
      </c>
      <c r="E108" t="str">
        <f>IFERROR(VLOOKUP(B108,Inventory!A:G,5,FALSE),"")</f>
        <v/>
      </c>
      <c r="F108" t="e">
        <f t="shared" si="1"/>
        <v>#VALUE!</v>
      </c>
    </row>
    <row r="109" spans="3:6" x14ac:dyDescent="0.3">
      <c r="C109" t="str">
        <f>IFERROR(VLOOKUP(B109,Inventory!A:G,2,FALSE),"")</f>
        <v/>
      </c>
      <c r="E109" t="str">
        <f>IFERROR(VLOOKUP(B109,Inventory!A:G,5,FALSE),"")</f>
        <v/>
      </c>
      <c r="F109" t="e">
        <f t="shared" si="1"/>
        <v>#VALUE!</v>
      </c>
    </row>
    <row r="110" spans="3:6" x14ac:dyDescent="0.3">
      <c r="C110" t="str">
        <f>IFERROR(VLOOKUP(B110,Inventory!A:G,2,FALSE),"")</f>
        <v/>
      </c>
      <c r="E110" t="str">
        <f>IFERROR(VLOOKUP(B110,Inventory!A:G,5,FALSE),"")</f>
        <v/>
      </c>
      <c r="F110" t="e">
        <f t="shared" si="1"/>
        <v>#VALUE!</v>
      </c>
    </row>
    <row r="111" spans="3:6" x14ac:dyDescent="0.3">
      <c r="C111" t="str">
        <f>IFERROR(VLOOKUP(B111,Inventory!A:G,2,FALSE),"")</f>
        <v/>
      </c>
      <c r="E111" t="str">
        <f>IFERROR(VLOOKUP(B111,Inventory!A:G,5,FALSE),"")</f>
        <v/>
      </c>
      <c r="F111" t="e">
        <f t="shared" si="1"/>
        <v>#VALUE!</v>
      </c>
    </row>
    <row r="112" spans="3:6" x14ac:dyDescent="0.3">
      <c r="C112" t="str">
        <f>IFERROR(VLOOKUP(B112,Inventory!A:G,2,FALSE),"")</f>
        <v/>
      </c>
      <c r="E112" t="str">
        <f>IFERROR(VLOOKUP(B112,Inventory!A:G,5,FALSE),"")</f>
        <v/>
      </c>
      <c r="F112" t="e">
        <f t="shared" si="1"/>
        <v>#VALUE!</v>
      </c>
    </row>
    <row r="113" spans="3:6" x14ac:dyDescent="0.3">
      <c r="C113" t="str">
        <f>IFERROR(VLOOKUP(B113,Inventory!A:G,2,FALSE),"")</f>
        <v/>
      </c>
      <c r="E113" t="str">
        <f>IFERROR(VLOOKUP(B113,Inventory!A:G,5,FALSE),"")</f>
        <v/>
      </c>
      <c r="F113" t="e">
        <f t="shared" si="1"/>
        <v>#VALUE!</v>
      </c>
    </row>
    <row r="114" spans="3:6" x14ac:dyDescent="0.3">
      <c r="C114" t="str">
        <f>IFERROR(VLOOKUP(B114,Inventory!A:G,2,FALSE),"")</f>
        <v/>
      </c>
      <c r="E114" t="str">
        <f>IFERROR(VLOOKUP(B114,Inventory!A:G,5,FALSE),"")</f>
        <v/>
      </c>
      <c r="F114" t="e">
        <f t="shared" si="1"/>
        <v>#VALUE!</v>
      </c>
    </row>
    <row r="115" spans="3:6" x14ac:dyDescent="0.3">
      <c r="C115" t="str">
        <f>IFERROR(VLOOKUP(B115,Inventory!A:G,2,FALSE),"")</f>
        <v/>
      </c>
      <c r="E115" t="str">
        <f>IFERROR(VLOOKUP(B115,Inventory!A:G,5,FALSE),"")</f>
        <v/>
      </c>
      <c r="F115" t="e">
        <f t="shared" si="1"/>
        <v>#VALUE!</v>
      </c>
    </row>
    <row r="116" spans="3:6" x14ac:dyDescent="0.3">
      <c r="C116" t="str">
        <f>IFERROR(VLOOKUP(B116,Inventory!A:G,2,FALSE),"")</f>
        <v/>
      </c>
      <c r="E116" t="str">
        <f>IFERROR(VLOOKUP(B116,Inventory!A:G,5,FALSE),"")</f>
        <v/>
      </c>
      <c r="F116" t="e">
        <f t="shared" si="1"/>
        <v>#VALUE!</v>
      </c>
    </row>
    <row r="117" spans="3:6" x14ac:dyDescent="0.3">
      <c r="C117" t="str">
        <f>IFERROR(VLOOKUP(B117,Inventory!A:G,2,FALSE),"")</f>
        <v/>
      </c>
      <c r="E117" t="str">
        <f>IFERROR(VLOOKUP(B117,Inventory!A:G,5,FALSE),"")</f>
        <v/>
      </c>
      <c r="F117" t="e">
        <f t="shared" si="1"/>
        <v>#VALUE!</v>
      </c>
    </row>
    <row r="118" spans="3:6" x14ac:dyDescent="0.3">
      <c r="C118" t="str">
        <f>IFERROR(VLOOKUP(B118,Inventory!A:G,2,FALSE),"")</f>
        <v/>
      </c>
      <c r="E118" t="str">
        <f>IFERROR(VLOOKUP(B118,Inventory!A:G,5,FALSE),"")</f>
        <v/>
      </c>
      <c r="F118" t="e">
        <f t="shared" si="1"/>
        <v>#VALUE!</v>
      </c>
    </row>
    <row r="119" spans="3:6" x14ac:dyDescent="0.3">
      <c r="C119" t="str">
        <f>IFERROR(VLOOKUP(B119,Inventory!A:G,2,FALSE),"")</f>
        <v/>
      </c>
      <c r="E119" t="str">
        <f>IFERROR(VLOOKUP(B119,Inventory!A:G,5,FALSE),"")</f>
        <v/>
      </c>
      <c r="F119" t="e">
        <f t="shared" si="1"/>
        <v>#VALUE!</v>
      </c>
    </row>
    <row r="120" spans="3:6" x14ac:dyDescent="0.3">
      <c r="C120" t="str">
        <f>IFERROR(VLOOKUP(B120,Inventory!A:G,2,FALSE),"")</f>
        <v/>
      </c>
      <c r="E120" t="str">
        <f>IFERROR(VLOOKUP(B120,Inventory!A:G,5,FALSE),"")</f>
        <v/>
      </c>
      <c r="F120" t="e">
        <f t="shared" si="1"/>
        <v>#VALUE!</v>
      </c>
    </row>
    <row r="121" spans="3:6" x14ac:dyDescent="0.3">
      <c r="C121" t="str">
        <f>IFERROR(VLOOKUP(B121,Inventory!A:G,2,FALSE),"")</f>
        <v/>
      </c>
      <c r="E121" t="str">
        <f>IFERROR(VLOOKUP(B121,Inventory!A:G,5,FALSE),"")</f>
        <v/>
      </c>
      <c r="F121" t="e">
        <f t="shared" si="1"/>
        <v>#VALUE!</v>
      </c>
    </row>
    <row r="122" spans="3:6" x14ac:dyDescent="0.3">
      <c r="C122" t="str">
        <f>IFERROR(VLOOKUP(B122,Inventory!A:G,2,FALSE),"")</f>
        <v/>
      </c>
      <c r="E122" t="str">
        <f>IFERROR(VLOOKUP(B122,Inventory!A:G,5,FALSE),"")</f>
        <v/>
      </c>
      <c r="F122" t="e">
        <f t="shared" si="1"/>
        <v>#VALUE!</v>
      </c>
    </row>
    <row r="123" spans="3:6" x14ac:dyDescent="0.3">
      <c r="C123" t="str">
        <f>IFERROR(VLOOKUP(B123,Inventory!A:G,2,FALSE),"")</f>
        <v/>
      </c>
      <c r="E123" t="str">
        <f>IFERROR(VLOOKUP(B123,Inventory!A:G,5,FALSE),"")</f>
        <v/>
      </c>
      <c r="F123" t="e">
        <f t="shared" si="1"/>
        <v>#VALUE!</v>
      </c>
    </row>
    <row r="124" spans="3:6" x14ac:dyDescent="0.3">
      <c r="C124" t="str">
        <f>IFERROR(VLOOKUP(B124,Inventory!A:G,2,FALSE),"")</f>
        <v/>
      </c>
      <c r="E124" t="str">
        <f>IFERROR(VLOOKUP(B124,Inventory!A:G,5,FALSE),"")</f>
        <v/>
      </c>
      <c r="F124" t="e">
        <f t="shared" si="1"/>
        <v>#VALUE!</v>
      </c>
    </row>
    <row r="125" spans="3:6" x14ac:dyDescent="0.3">
      <c r="C125" t="str">
        <f>IFERROR(VLOOKUP(B125,Inventory!A:G,2,FALSE),"")</f>
        <v/>
      </c>
      <c r="E125" t="str">
        <f>IFERROR(VLOOKUP(B125,Inventory!A:G,5,FALSE),"")</f>
        <v/>
      </c>
      <c r="F125" t="e">
        <f t="shared" si="1"/>
        <v>#VALUE!</v>
      </c>
    </row>
    <row r="126" spans="3:6" x14ac:dyDescent="0.3">
      <c r="C126" t="str">
        <f>IFERROR(VLOOKUP(B126,Inventory!A:G,2,FALSE),"")</f>
        <v/>
      </c>
      <c r="E126" t="str">
        <f>IFERROR(VLOOKUP(B126,Inventory!A:G,5,FALSE),"")</f>
        <v/>
      </c>
      <c r="F126" t="e">
        <f t="shared" si="1"/>
        <v>#VALUE!</v>
      </c>
    </row>
    <row r="127" spans="3:6" x14ac:dyDescent="0.3">
      <c r="C127" t="str">
        <f>IFERROR(VLOOKUP(B127,Inventory!A:G,2,FALSE),"")</f>
        <v/>
      </c>
      <c r="E127" t="str">
        <f>IFERROR(VLOOKUP(B127,Inventory!A:G,5,FALSE),"")</f>
        <v/>
      </c>
      <c r="F127" t="e">
        <f t="shared" si="1"/>
        <v>#VALUE!</v>
      </c>
    </row>
    <row r="128" spans="3:6" x14ac:dyDescent="0.3">
      <c r="C128" t="str">
        <f>IFERROR(VLOOKUP(B128,Inventory!A:G,2,FALSE),"")</f>
        <v/>
      </c>
      <c r="E128" t="str">
        <f>IFERROR(VLOOKUP(B128,Inventory!A:G,5,FALSE),"")</f>
        <v/>
      </c>
      <c r="F128" t="e">
        <f t="shared" si="1"/>
        <v>#VALUE!</v>
      </c>
    </row>
    <row r="129" spans="3:6" x14ac:dyDescent="0.3">
      <c r="C129" t="str">
        <f>IFERROR(VLOOKUP(B129,Inventory!A:G,2,FALSE),"")</f>
        <v/>
      </c>
      <c r="E129" t="str">
        <f>IFERROR(VLOOKUP(B129,Inventory!A:G,5,FALSE),"")</f>
        <v/>
      </c>
      <c r="F129" t="e">
        <f t="shared" si="1"/>
        <v>#VALUE!</v>
      </c>
    </row>
    <row r="130" spans="3:6" x14ac:dyDescent="0.3">
      <c r="C130" t="str">
        <f>IFERROR(VLOOKUP(B130,Inventory!A:G,2,FALSE),"")</f>
        <v/>
      </c>
      <c r="E130" t="str">
        <f>IFERROR(VLOOKUP(B130,Inventory!A:G,5,FALSE),"")</f>
        <v/>
      </c>
      <c r="F130" t="e">
        <f t="shared" ref="F130:F193" si="2">D130*E130</f>
        <v>#VALUE!</v>
      </c>
    </row>
    <row r="131" spans="3:6" x14ac:dyDescent="0.3">
      <c r="C131" t="str">
        <f>IFERROR(VLOOKUP(B131,Inventory!A:G,2,FALSE),"")</f>
        <v/>
      </c>
      <c r="E131" t="str">
        <f>IFERROR(VLOOKUP(B131,Inventory!A:G,5,FALSE),"")</f>
        <v/>
      </c>
      <c r="F131" t="e">
        <f t="shared" si="2"/>
        <v>#VALUE!</v>
      </c>
    </row>
    <row r="132" spans="3:6" x14ac:dyDescent="0.3">
      <c r="C132" t="str">
        <f>IFERROR(VLOOKUP(B132,Inventory!A:G,2,FALSE),"")</f>
        <v/>
      </c>
      <c r="E132" t="str">
        <f>IFERROR(VLOOKUP(B132,Inventory!A:G,5,FALSE),"")</f>
        <v/>
      </c>
      <c r="F132" t="e">
        <f t="shared" si="2"/>
        <v>#VALUE!</v>
      </c>
    </row>
    <row r="133" spans="3:6" x14ac:dyDescent="0.3">
      <c r="C133" t="str">
        <f>IFERROR(VLOOKUP(B133,Inventory!A:G,2,FALSE),"")</f>
        <v/>
      </c>
      <c r="E133" t="str">
        <f>IFERROR(VLOOKUP(B133,Inventory!A:G,5,FALSE),"")</f>
        <v/>
      </c>
      <c r="F133" t="e">
        <f t="shared" si="2"/>
        <v>#VALUE!</v>
      </c>
    </row>
    <row r="134" spans="3:6" x14ac:dyDescent="0.3">
      <c r="C134" t="str">
        <f>IFERROR(VLOOKUP(B134,Inventory!A:G,2,FALSE),"")</f>
        <v/>
      </c>
      <c r="E134" t="str">
        <f>IFERROR(VLOOKUP(B134,Inventory!A:G,5,FALSE),"")</f>
        <v/>
      </c>
      <c r="F134" t="e">
        <f t="shared" si="2"/>
        <v>#VALUE!</v>
      </c>
    </row>
    <row r="135" spans="3:6" x14ac:dyDescent="0.3">
      <c r="C135" t="str">
        <f>IFERROR(VLOOKUP(B135,Inventory!A:G,2,FALSE),"")</f>
        <v/>
      </c>
      <c r="E135" t="str">
        <f>IFERROR(VLOOKUP(B135,Inventory!A:G,5,FALSE),"")</f>
        <v/>
      </c>
      <c r="F135" t="e">
        <f t="shared" si="2"/>
        <v>#VALUE!</v>
      </c>
    </row>
    <row r="136" spans="3:6" x14ac:dyDescent="0.3">
      <c r="C136" t="str">
        <f>IFERROR(VLOOKUP(B136,Inventory!A:G,2,FALSE),"")</f>
        <v/>
      </c>
      <c r="E136" t="str">
        <f>IFERROR(VLOOKUP(B136,Inventory!A:G,5,FALSE),"")</f>
        <v/>
      </c>
      <c r="F136" t="e">
        <f t="shared" si="2"/>
        <v>#VALUE!</v>
      </c>
    </row>
    <row r="137" spans="3:6" x14ac:dyDescent="0.3">
      <c r="C137" t="str">
        <f>IFERROR(VLOOKUP(B137,Inventory!A:G,2,FALSE),"")</f>
        <v/>
      </c>
      <c r="E137" t="str">
        <f>IFERROR(VLOOKUP(B137,Inventory!A:G,5,FALSE),"")</f>
        <v/>
      </c>
      <c r="F137" t="e">
        <f t="shared" si="2"/>
        <v>#VALUE!</v>
      </c>
    </row>
    <row r="138" spans="3:6" x14ac:dyDescent="0.3">
      <c r="C138" t="str">
        <f>IFERROR(VLOOKUP(B138,Inventory!A:G,2,FALSE),"")</f>
        <v/>
      </c>
      <c r="E138" t="str">
        <f>IFERROR(VLOOKUP(B138,Inventory!A:G,5,FALSE),"")</f>
        <v/>
      </c>
      <c r="F138" t="e">
        <f t="shared" si="2"/>
        <v>#VALUE!</v>
      </c>
    </row>
    <row r="139" spans="3:6" x14ac:dyDescent="0.3">
      <c r="C139" t="str">
        <f>IFERROR(VLOOKUP(B139,Inventory!A:G,2,FALSE),"")</f>
        <v/>
      </c>
      <c r="E139" t="str">
        <f>IFERROR(VLOOKUP(B139,Inventory!A:G,5,FALSE),"")</f>
        <v/>
      </c>
      <c r="F139" t="e">
        <f t="shared" si="2"/>
        <v>#VALUE!</v>
      </c>
    </row>
    <row r="140" spans="3:6" x14ac:dyDescent="0.3">
      <c r="C140" t="str">
        <f>IFERROR(VLOOKUP(B140,Inventory!A:G,2,FALSE),"")</f>
        <v/>
      </c>
      <c r="E140" t="str">
        <f>IFERROR(VLOOKUP(B140,Inventory!A:G,5,FALSE),"")</f>
        <v/>
      </c>
      <c r="F140" t="e">
        <f t="shared" si="2"/>
        <v>#VALUE!</v>
      </c>
    </row>
    <row r="141" spans="3:6" x14ac:dyDescent="0.3">
      <c r="C141" t="str">
        <f>IFERROR(VLOOKUP(B141,Inventory!A:G,2,FALSE),"")</f>
        <v/>
      </c>
      <c r="E141" t="str">
        <f>IFERROR(VLOOKUP(B141,Inventory!A:G,5,FALSE),"")</f>
        <v/>
      </c>
      <c r="F141" t="e">
        <f t="shared" si="2"/>
        <v>#VALUE!</v>
      </c>
    </row>
    <row r="142" spans="3:6" x14ac:dyDescent="0.3">
      <c r="C142" t="str">
        <f>IFERROR(VLOOKUP(B142,Inventory!A:G,2,FALSE),"")</f>
        <v/>
      </c>
      <c r="E142" t="str">
        <f>IFERROR(VLOOKUP(B142,Inventory!A:G,5,FALSE),"")</f>
        <v/>
      </c>
      <c r="F142" t="e">
        <f t="shared" si="2"/>
        <v>#VALUE!</v>
      </c>
    </row>
    <row r="143" spans="3:6" x14ac:dyDescent="0.3">
      <c r="C143" t="str">
        <f>IFERROR(VLOOKUP(B143,Inventory!A:G,2,FALSE),"")</f>
        <v/>
      </c>
      <c r="E143" t="str">
        <f>IFERROR(VLOOKUP(B143,Inventory!A:G,5,FALSE),"")</f>
        <v/>
      </c>
      <c r="F143" t="e">
        <f t="shared" si="2"/>
        <v>#VALUE!</v>
      </c>
    </row>
    <row r="144" spans="3:6" x14ac:dyDescent="0.3">
      <c r="C144" t="str">
        <f>IFERROR(VLOOKUP(B144,Inventory!A:G,2,FALSE),"")</f>
        <v/>
      </c>
      <c r="E144" t="str">
        <f>IFERROR(VLOOKUP(B144,Inventory!A:G,5,FALSE),"")</f>
        <v/>
      </c>
      <c r="F144" t="e">
        <f t="shared" si="2"/>
        <v>#VALUE!</v>
      </c>
    </row>
    <row r="145" spans="3:6" x14ac:dyDescent="0.3">
      <c r="C145" t="str">
        <f>IFERROR(VLOOKUP(B145,Inventory!A:G,2,FALSE),"")</f>
        <v/>
      </c>
      <c r="E145" t="str">
        <f>IFERROR(VLOOKUP(B145,Inventory!A:G,5,FALSE),"")</f>
        <v/>
      </c>
      <c r="F145" t="e">
        <f t="shared" si="2"/>
        <v>#VALUE!</v>
      </c>
    </row>
    <row r="146" spans="3:6" x14ac:dyDescent="0.3">
      <c r="C146" t="str">
        <f>IFERROR(VLOOKUP(B146,Inventory!A:G,2,FALSE),"")</f>
        <v/>
      </c>
      <c r="E146" t="str">
        <f>IFERROR(VLOOKUP(B146,Inventory!A:G,5,FALSE),"")</f>
        <v/>
      </c>
      <c r="F146" t="e">
        <f t="shared" si="2"/>
        <v>#VALUE!</v>
      </c>
    </row>
    <row r="147" spans="3:6" x14ac:dyDescent="0.3">
      <c r="C147" t="str">
        <f>IFERROR(VLOOKUP(B147,Inventory!A:G,2,FALSE),"")</f>
        <v/>
      </c>
      <c r="E147" t="str">
        <f>IFERROR(VLOOKUP(B147,Inventory!A:G,5,FALSE),"")</f>
        <v/>
      </c>
      <c r="F147" t="e">
        <f t="shared" si="2"/>
        <v>#VALUE!</v>
      </c>
    </row>
    <row r="148" spans="3:6" x14ac:dyDescent="0.3">
      <c r="C148" t="str">
        <f>IFERROR(VLOOKUP(B148,Inventory!A:G,2,FALSE),"")</f>
        <v/>
      </c>
      <c r="E148" t="str">
        <f>IFERROR(VLOOKUP(B148,Inventory!A:G,5,FALSE),"")</f>
        <v/>
      </c>
      <c r="F148" t="e">
        <f t="shared" si="2"/>
        <v>#VALUE!</v>
      </c>
    </row>
    <row r="149" spans="3:6" x14ac:dyDescent="0.3">
      <c r="C149" t="str">
        <f>IFERROR(VLOOKUP(B149,Inventory!A:G,2,FALSE),"")</f>
        <v/>
      </c>
      <c r="E149" t="str">
        <f>IFERROR(VLOOKUP(B149,Inventory!A:G,5,FALSE),"")</f>
        <v/>
      </c>
      <c r="F149" t="e">
        <f t="shared" si="2"/>
        <v>#VALUE!</v>
      </c>
    </row>
    <row r="150" spans="3:6" x14ac:dyDescent="0.3">
      <c r="C150" t="str">
        <f>IFERROR(VLOOKUP(B150,Inventory!A:G,2,FALSE),"")</f>
        <v/>
      </c>
      <c r="E150" t="str">
        <f>IFERROR(VLOOKUP(B150,Inventory!A:G,5,FALSE),"")</f>
        <v/>
      </c>
      <c r="F150" t="e">
        <f t="shared" si="2"/>
        <v>#VALUE!</v>
      </c>
    </row>
    <row r="151" spans="3:6" x14ac:dyDescent="0.3">
      <c r="C151" t="str">
        <f>IFERROR(VLOOKUP(B151,Inventory!A:G,2,FALSE),"")</f>
        <v/>
      </c>
      <c r="E151" t="str">
        <f>IFERROR(VLOOKUP(B151,Inventory!A:G,5,FALSE),"")</f>
        <v/>
      </c>
      <c r="F151" t="e">
        <f t="shared" si="2"/>
        <v>#VALUE!</v>
      </c>
    </row>
    <row r="152" spans="3:6" x14ac:dyDescent="0.3">
      <c r="C152" t="str">
        <f>IFERROR(VLOOKUP(B152,Inventory!A:G,2,FALSE),"")</f>
        <v/>
      </c>
      <c r="E152" t="str">
        <f>IFERROR(VLOOKUP(B152,Inventory!A:G,5,FALSE),"")</f>
        <v/>
      </c>
      <c r="F152" t="e">
        <f t="shared" si="2"/>
        <v>#VALUE!</v>
      </c>
    </row>
    <row r="153" spans="3:6" x14ac:dyDescent="0.3">
      <c r="C153" t="str">
        <f>IFERROR(VLOOKUP(B153,Inventory!A:G,2,FALSE),"")</f>
        <v/>
      </c>
      <c r="E153" t="str">
        <f>IFERROR(VLOOKUP(B153,Inventory!A:G,5,FALSE),"")</f>
        <v/>
      </c>
      <c r="F153" t="e">
        <f t="shared" si="2"/>
        <v>#VALUE!</v>
      </c>
    </row>
    <row r="154" spans="3:6" x14ac:dyDescent="0.3">
      <c r="C154" t="str">
        <f>IFERROR(VLOOKUP(B154,Inventory!A:G,2,FALSE),"")</f>
        <v/>
      </c>
      <c r="E154" t="str">
        <f>IFERROR(VLOOKUP(B154,Inventory!A:G,5,FALSE),"")</f>
        <v/>
      </c>
      <c r="F154" t="e">
        <f t="shared" si="2"/>
        <v>#VALUE!</v>
      </c>
    </row>
    <row r="155" spans="3:6" x14ac:dyDescent="0.3">
      <c r="C155" t="str">
        <f>IFERROR(VLOOKUP(B155,Inventory!A:G,2,FALSE),"")</f>
        <v/>
      </c>
      <c r="E155" t="str">
        <f>IFERROR(VLOOKUP(B155,Inventory!A:G,5,FALSE),"")</f>
        <v/>
      </c>
      <c r="F155" t="e">
        <f t="shared" si="2"/>
        <v>#VALUE!</v>
      </c>
    </row>
    <row r="156" spans="3:6" x14ac:dyDescent="0.3">
      <c r="C156" t="str">
        <f>IFERROR(VLOOKUP(B156,Inventory!A:G,2,FALSE),"")</f>
        <v/>
      </c>
      <c r="E156" t="str">
        <f>IFERROR(VLOOKUP(B156,Inventory!A:G,5,FALSE),"")</f>
        <v/>
      </c>
      <c r="F156" t="e">
        <f t="shared" si="2"/>
        <v>#VALUE!</v>
      </c>
    </row>
    <row r="157" spans="3:6" x14ac:dyDescent="0.3">
      <c r="C157" t="str">
        <f>IFERROR(VLOOKUP(B157,Inventory!A:G,2,FALSE),"")</f>
        <v/>
      </c>
      <c r="E157" t="str">
        <f>IFERROR(VLOOKUP(B157,Inventory!A:G,5,FALSE),"")</f>
        <v/>
      </c>
      <c r="F157" t="e">
        <f t="shared" si="2"/>
        <v>#VALUE!</v>
      </c>
    </row>
    <row r="158" spans="3:6" x14ac:dyDescent="0.3">
      <c r="C158" t="str">
        <f>IFERROR(VLOOKUP(B158,Inventory!A:G,2,FALSE),"")</f>
        <v/>
      </c>
      <c r="E158" t="str">
        <f>IFERROR(VLOOKUP(B158,Inventory!A:G,5,FALSE),"")</f>
        <v/>
      </c>
      <c r="F158" t="e">
        <f t="shared" si="2"/>
        <v>#VALUE!</v>
      </c>
    </row>
    <row r="159" spans="3:6" x14ac:dyDescent="0.3">
      <c r="C159" t="str">
        <f>IFERROR(VLOOKUP(B159,Inventory!A:G,2,FALSE),"")</f>
        <v/>
      </c>
      <c r="E159" t="str">
        <f>IFERROR(VLOOKUP(B159,Inventory!A:G,5,FALSE),"")</f>
        <v/>
      </c>
      <c r="F159" t="e">
        <f t="shared" si="2"/>
        <v>#VALUE!</v>
      </c>
    </row>
    <row r="160" spans="3:6" x14ac:dyDescent="0.3">
      <c r="C160" t="str">
        <f>IFERROR(VLOOKUP(B160,Inventory!A:G,2,FALSE),"")</f>
        <v/>
      </c>
      <c r="E160" t="str">
        <f>IFERROR(VLOOKUP(B160,Inventory!A:G,5,FALSE),"")</f>
        <v/>
      </c>
      <c r="F160" t="e">
        <f t="shared" si="2"/>
        <v>#VALUE!</v>
      </c>
    </row>
    <row r="161" spans="3:6" x14ac:dyDescent="0.3">
      <c r="C161" t="str">
        <f>IFERROR(VLOOKUP(B161,Inventory!A:G,2,FALSE),"")</f>
        <v/>
      </c>
      <c r="E161" t="str">
        <f>IFERROR(VLOOKUP(B161,Inventory!A:G,5,FALSE),"")</f>
        <v/>
      </c>
      <c r="F161" t="e">
        <f t="shared" si="2"/>
        <v>#VALUE!</v>
      </c>
    </row>
    <row r="162" spans="3:6" x14ac:dyDescent="0.3">
      <c r="C162" t="str">
        <f>IFERROR(VLOOKUP(B162,Inventory!A:G,2,FALSE),"")</f>
        <v/>
      </c>
      <c r="E162" t="str">
        <f>IFERROR(VLOOKUP(B162,Inventory!A:G,5,FALSE),"")</f>
        <v/>
      </c>
      <c r="F162" t="e">
        <f t="shared" si="2"/>
        <v>#VALUE!</v>
      </c>
    </row>
    <row r="163" spans="3:6" x14ac:dyDescent="0.3">
      <c r="C163" t="str">
        <f>IFERROR(VLOOKUP(B163,Inventory!A:G,2,FALSE),"")</f>
        <v/>
      </c>
      <c r="E163" t="str">
        <f>IFERROR(VLOOKUP(B163,Inventory!A:G,5,FALSE),"")</f>
        <v/>
      </c>
      <c r="F163" t="e">
        <f t="shared" si="2"/>
        <v>#VALUE!</v>
      </c>
    </row>
    <row r="164" spans="3:6" x14ac:dyDescent="0.3">
      <c r="C164" t="str">
        <f>IFERROR(VLOOKUP(B164,Inventory!A:G,2,FALSE),"")</f>
        <v/>
      </c>
      <c r="E164" t="str">
        <f>IFERROR(VLOOKUP(B164,Inventory!A:G,5,FALSE),"")</f>
        <v/>
      </c>
      <c r="F164" t="e">
        <f t="shared" si="2"/>
        <v>#VALUE!</v>
      </c>
    </row>
    <row r="165" spans="3:6" x14ac:dyDescent="0.3">
      <c r="C165" t="str">
        <f>IFERROR(VLOOKUP(B165,Inventory!A:G,2,FALSE),"")</f>
        <v/>
      </c>
      <c r="E165" t="str">
        <f>IFERROR(VLOOKUP(B165,Inventory!A:G,5,FALSE),"")</f>
        <v/>
      </c>
      <c r="F165" t="e">
        <f t="shared" si="2"/>
        <v>#VALUE!</v>
      </c>
    </row>
    <row r="166" spans="3:6" x14ac:dyDescent="0.3">
      <c r="C166" t="str">
        <f>IFERROR(VLOOKUP(B166,Inventory!A:G,2,FALSE),"")</f>
        <v/>
      </c>
      <c r="E166" t="str">
        <f>IFERROR(VLOOKUP(B166,Inventory!A:G,5,FALSE),"")</f>
        <v/>
      </c>
      <c r="F166" t="e">
        <f t="shared" si="2"/>
        <v>#VALUE!</v>
      </c>
    </row>
    <row r="167" spans="3:6" x14ac:dyDescent="0.3">
      <c r="C167" t="str">
        <f>IFERROR(VLOOKUP(B167,Inventory!A:G,2,FALSE),"")</f>
        <v/>
      </c>
      <c r="E167" t="str">
        <f>IFERROR(VLOOKUP(B167,Inventory!A:G,5,FALSE),"")</f>
        <v/>
      </c>
      <c r="F167" t="e">
        <f t="shared" si="2"/>
        <v>#VALUE!</v>
      </c>
    </row>
    <row r="168" spans="3:6" x14ac:dyDescent="0.3">
      <c r="C168" t="str">
        <f>IFERROR(VLOOKUP(B168,Inventory!A:G,2,FALSE),"")</f>
        <v/>
      </c>
      <c r="E168" t="str">
        <f>IFERROR(VLOOKUP(B168,Inventory!A:G,5,FALSE),"")</f>
        <v/>
      </c>
      <c r="F168" t="e">
        <f t="shared" si="2"/>
        <v>#VALUE!</v>
      </c>
    </row>
    <row r="169" spans="3:6" x14ac:dyDescent="0.3">
      <c r="C169" t="str">
        <f>IFERROR(VLOOKUP(B169,Inventory!A:G,2,FALSE),"")</f>
        <v/>
      </c>
      <c r="E169" t="str">
        <f>IFERROR(VLOOKUP(B169,Inventory!A:G,5,FALSE),"")</f>
        <v/>
      </c>
      <c r="F169" t="e">
        <f t="shared" si="2"/>
        <v>#VALUE!</v>
      </c>
    </row>
    <row r="170" spans="3:6" x14ac:dyDescent="0.3">
      <c r="C170" t="str">
        <f>IFERROR(VLOOKUP(B170,Inventory!A:G,2,FALSE),"")</f>
        <v/>
      </c>
      <c r="E170" t="str">
        <f>IFERROR(VLOOKUP(B170,Inventory!A:G,5,FALSE),"")</f>
        <v/>
      </c>
      <c r="F170" t="e">
        <f t="shared" si="2"/>
        <v>#VALUE!</v>
      </c>
    </row>
    <row r="171" spans="3:6" x14ac:dyDescent="0.3">
      <c r="C171" t="str">
        <f>IFERROR(VLOOKUP(B171,Inventory!A:G,2,FALSE),"")</f>
        <v/>
      </c>
      <c r="E171" t="str">
        <f>IFERROR(VLOOKUP(B171,Inventory!A:G,5,FALSE),"")</f>
        <v/>
      </c>
      <c r="F171" t="e">
        <f t="shared" si="2"/>
        <v>#VALUE!</v>
      </c>
    </row>
    <row r="172" spans="3:6" x14ac:dyDescent="0.3">
      <c r="C172" t="str">
        <f>IFERROR(VLOOKUP(B172,Inventory!A:G,2,FALSE),"")</f>
        <v/>
      </c>
      <c r="E172" t="str">
        <f>IFERROR(VLOOKUP(B172,Inventory!A:G,5,FALSE),"")</f>
        <v/>
      </c>
      <c r="F172" t="e">
        <f t="shared" si="2"/>
        <v>#VALUE!</v>
      </c>
    </row>
    <row r="173" spans="3:6" x14ac:dyDescent="0.3">
      <c r="C173" t="str">
        <f>IFERROR(VLOOKUP(B173,Inventory!A:G,2,FALSE),"")</f>
        <v/>
      </c>
      <c r="E173" t="str">
        <f>IFERROR(VLOOKUP(B173,Inventory!A:G,5,FALSE),"")</f>
        <v/>
      </c>
      <c r="F173" t="e">
        <f t="shared" si="2"/>
        <v>#VALUE!</v>
      </c>
    </row>
    <row r="174" spans="3:6" x14ac:dyDescent="0.3">
      <c r="C174" t="str">
        <f>IFERROR(VLOOKUP(B174,Inventory!A:G,2,FALSE),"")</f>
        <v/>
      </c>
      <c r="E174" t="str">
        <f>IFERROR(VLOOKUP(B174,Inventory!A:G,5,FALSE),"")</f>
        <v/>
      </c>
      <c r="F174" t="e">
        <f t="shared" si="2"/>
        <v>#VALUE!</v>
      </c>
    </row>
    <row r="175" spans="3:6" x14ac:dyDescent="0.3">
      <c r="C175" t="str">
        <f>IFERROR(VLOOKUP(B175,Inventory!A:G,2,FALSE),"")</f>
        <v/>
      </c>
      <c r="E175" t="str">
        <f>IFERROR(VLOOKUP(B175,Inventory!A:G,5,FALSE),"")</f>
        <v/>
      </c>
      <c r="F175" t="e">
        <f t="shared" si="2"/>
        <v>#VALUE!</v>
      </c>
    </row>
    <row r="176" spans="3:6" x14ac:dyDescent="0.3">
      <c r="C176" t="str">
        <f>IFERROR(VLOOKUP(B176,Inventory!A:G,2,FALSE),"")</f>
        <v/>
      </c>
      <c r="E176" t="str">
        <f>IFERROR(VLOOKUP(B176,Inventory!A:G,5,FALSE),"")</f>
        <v/>
      </c>
      <c r="F176" t="e">
        <f t="shared" si="2"/>
        <v>#VALUE!</v>
      </c>
    </row>
    <row r="177" spans="3:6" x14ac:dyDescent="0.3">
      <c r="C177" t="str">
        <f>IFERROR(VLOOKUP(B177,Inventory!A:G,2,FALSE),"")</f>
        <v/>
      </c>
      <c r="E177" t="str">
        <f>IFERROR(VLOOKUP(B177,Inventory!A:G,5,FALSE),"")</f>
        <v/>
      </c>
      <c r="F177" t="e">
        <f t="shared" si="2"/>
        <v>#VALUE!</v>
      </c>
    </row>
    <row r="178" spans="3:6" x14ac:dyDescent="0.3">
      <c r="C178" t="str">
        <f>IFERROR(VLOOKUP(B178,Inventory!A:G,2,FALSE),"")</f>
        <v/>
      </c>
      <c r="E178" t="str">
        <f>IFERROR(VLOOKUP(B178,Inventory!A:G,5,FALSE),"")</f>
        <v/>
      </c>
      <c r="F178" t="e">
        <f t="shared" si="2"/>
        <v>#VALUE!</v>
      </c>
    </row>
    <row r="179" spans="3:6" x14ac:dyDescent="0.3">
      <c r="C179" t="str">
        <f>IFERROR(VLOOKUP(B179,Inventory!A:G,2,FALSE),"")</f>
        <v/>
      </c>
      <c r="E179" t="str">
        <f>IFERROR(VLOOKUP(B179,Inventory!A:G,5,FALSE),"")</f>
        <v/>
      </c>
      <c r="F179" t="e">
        <f t="shared" si="2"/>
        <v>#VALUE!</v>
      </c>
    </row>
    <row r="180" spans="3:6" x14ac:dyDescent="0.3">
      <c r="C180" t="str">
        <f>IFERROR(VLOOKUP(B180,Inventory!A:G,2,FALSE),"")</f>
        <v/>
      </c>
      <c r="E180" t="str">
        <f>IFERROR(VLOOKUP(B180,Inventory!A:G,5,FALSE),"")</f>
        <v/>
      </c>
      <c r="F180" t="e">
        <f t="shared" si="2"/>
        <v>#VALUE!</v>
      </c>
    </row>
    <row r="181" spans="3:6" x14ac:dyDescent="0.3">
      <c r="C181" t="str">
        <f>IFERROR(VLOOKUP(B181,Inventory!A:G,2,FALSE),"")</f>
        <v/>
      </c>
      <c r="E181" t="str">
        <f>IFERROR(VLOOKUP(B181,Inventory!A:G,5,FALSE),"")</f>
        <v/>
      </c>
      <c r="F181" t="e">
        <f t="shared" si="2"/>
        <v>#VALUE!</v>
      </c>
    </row>
    <row r="182" spans="3:6" x14ac:dyDescent="0.3">
      <c r="C182" t="str">
        <f>IFERROR(VLOOKUP(B182,Inventory!A:G,2,FALSE),"")</f>
        <v/>
      </c>
      <c r="E182" t="str">
        <f>IFERROR(VLOOKUP(B182,Inventory!A:G,5,FALSE),"")</f>
        <v/>
      </c>
      <c r="F182" t="e">
        <f t="shared" si="2"/>
        <v>#VALUE!</v>
      </c>
    </row>
    <row r="183" spans="3:6" x14ac:dyDescent="0.3">
      <c r="C183" t="str">
        <f>IFERROR(VLOOKUP(B183,Inventory!A:G,2,FALSE),"")</f>
        <v/>
      </c>
      <c r="E183" t="str">
        <f>IFERROR(VLOOKUP(B183,Inventory!A:G,5,FALSE),"")</f>
        <v/>
      </c>
      <c r="F183" t="e">
        <f t="shared" si="2"/>
        <v>#VALUE!</v>
      </c>
    </row>
    <row r="184" spans="3:6" x14ac:dyDescent="0.3">
      <c r="C184" t="str">
        <f>IFERROR(VLOOKUP(B184,Inventory!A:G,2,FALSE),"")</f>
        <v/>
      </c>
      <c r="E184" t="str">
        <f>IFERROR(VLOOKUP(B184,Inventory!A:G,5,FALSE),"")</f>
        <v/>
      </c>
      <c r="F184" t="e">
        <f t="shared" si="2"/>
        <v>#VALUE!</v>
      </c>
    </row>
    <row r="185" spans="3:6" x14ac:dyDescent="0.3">
      <c r="C185" t="str">
        <f>IFERROR(VLOOKUP(B185,Inventory!A:G,2,FALSE),"")</f>
        <v/>
      </c>
      <c r="E185" t="str">
        <f>IFERROR(VLOOKUP(B185,Inventory!A:G,5,FALSE),"")</f>
        <v/>
      </c>
      <c r="F185" t="e">
        <f t="shared" si="2"/>
        <v>#VALUE!</v>
      </c>
    </row>
    <row r="186" spans="3:6" x14ac:dyDescent="0.3">
      <c r="C186" t="str">
        <f>IFERROR(VLOOKUP(B186,Inventory!A:G,2,FALSE),"")</f>
        <v/>
      </c>
      <c r="E186" t="str">
        <f>IFERROR(VLOOKUP(B186,Inventory!A:G,5,FALSE),"")</f>
        <v/>
      </c>
      <c r="F186" t="e">
        <f t="shared" si="2"/>
        <v>#VALUE!</v>
      </c>
    </row>
    <row r="187" spans="3:6" x14ac:dyDescent="0.3">
      <c r="C187" t="str">
        <f>IFERROR(VLOOKUP(B187,Inventory!A:G,2,FALSE),"")</f>
        <v/>
      </c>
      <c r="E187" t="str">
        <f>IFERROR(VLOOKUP(B187,Inventory!A:G,5,FALSE),"")</f>
        <v/>
      </c>
      <c r="F187" t="e">
        <f t="shared" si="2"/>
        <v>#VALUE!</v>
      </c>
    </row>
    <row r="188" spans="3:6" x14ac:dyDescent="0.3">
      <c r="C188" t="str">
        <f>IFERROR(VLOOKUP(B188,Inventory!A:G,2,FALSE),"")</f>
        <v/>
      </c>
      <c r="E188" t="str">
        <f>IFERROR(VLOOKUP(B188,Inventory!A:G,5,FALSE),"")</f>
        <v/>
      </c>
      <c r="F188" t="e">
        <f t="shared" si="2"/>
        <v>#VALUE!</v>
      </c>
    </row>
    <row r="189" spans="3:6" x14ac:dyDescent="0.3">
      <c r="C189" t="str">
        <f>IFERROR(VLOOKUP(B189,Inventory!A:G,2,FALSE),"")</f>
        <v/>
      </c>
      <c r="E189" t="str">
        <f>IFERROR(VLOOKUP(B189,Inventory!A:G,5,FALSE),"")</f>
        <v/>
      </c>
      <c r="F189" t="e">
        <f t="shared" si="2"/>
        <v>#VALUE!</v>
      </c>
    </row>
    <row r="190" spans="3:6" x14ac:dyDescent="0.3">
      <c r="C190" t="str">
        <f>IFERROR(VLOOKUP(B190,Inventory!A:G,2,FALSE),"")</f>
        <v/>
      </c>
      <c r="E190" t="str">
        <f>IFERROR(VLOOKUP(B190,Inventory!A:G,5,FALSE),"")</f>
        <v/>
      </c>
      <c r="F190" t="e">
        <f t="shared" si="2"/>
        <v>#VALUE!</v>
      </c>
    </row>
    <row r="191" spans="3:6" x14ac:dyDescent="0.3">
      <c r="C191" t="str">
        <f>IFERROR(VLOOKUP(B191,Inventory!A:G,2,FALSE),"")</f>
        <v/>
      </c>
      <c r="E191" t="str">
        <f>IFERROR(VLOOKUP(B191,Inventory!A:G,5,FALSE),"")</f>
        <v/>
      </c>
      <c r="F191" t="e">
        <f t="shared" si="2"/>
        <v>#VALUE!</v>
      </c>
    </row>
    <row r="192" spans="3:6" x14ac:dyDescent="0.3">
      <c r="C192" t="str">
        <f>IFERROR(VLOOKUP(B192,Inventory!A:G,2,FALSE),"")</f>
        <v/>
      </c>
      <c r="E192" t="str">
        <f>IFERROR(VLOOKUP(B192,Inventory!A:G,5,FALSE),"")</f>
        <v/>
      </c>
      <c r="F192" t="e">
        <f t="shared" si="2"/>
        <v>#VALUE!</v>
      </c>
    </row>
    <row r="193" spans="3:6" x14ac:dyDescent="0.3">
      <c r="C193" t="str">
        <f>IFERROR(VLOOKUP(B193,Inventory!A:G,2,FALSE),"")</f>
        <v/>
      </c>
      <c r="E193" t="str">
        <f>IFERROR(VLOOKUP(B193,Inventory!A:G,5,FALSE),"")</f>
        <v/>
      </c>
      <c r="F193" t="e">
        <f t="shared" si="2"/>
        <v>#VALUE!</v>
      </c>
    </row>
    <row r="194" spans="3:6" x14ac:dyDescent="0.3">
      <c r="C194" t="str">
        <f>IFERROR(VLOOKUP(B194,Inventory!A:G,2,FALSE),"")</f>
        <v/>
      </c>
      <c r="E194" t="str">
        <f>IFERROR(VLOOKUP(B194,Inventory!A:G,5,FALSE),"")</f>
        <v/>
      </c>
      <c r="F194" t="e">
        <f t="shared" ref="F194:F257" si="3">D194*E194</f>
        <v>#VALUE!</v>
      </c>
    </row>
    <row r="195" spans="3:6" x14ac:dyDescent="0.3">
      <c r="C195" t="str">
        <f>IFERROR(VLOOKUP(B195,Inventory!A:G,2,FALSE),"")</f>
        <v/>
      </c>
      <c r="E195" t="str">
        <f>IFERROR(VLOOKUP(B195,Inventory!A:G,5,FALSE),"")</f>
        <v/>
      </c>
      <c r="F195" t="e">
        <f t="shared" si="3"/>
        <v>#VALUE!</v>
      </c>
    </row>
    <row r="196" spans="3:6" x14ac:dyDescent="0.3">
      <c r="C196" t="str">
        <f>IFERROR(VLOOKUP(B196,Inventory!A:G,2,FALSE),"")</f>
        <v/>
      </c>
      <c r="E196" t="str">
        <f>IFERROR(VLOOKUP(B196,Inventory!A:G,5,FALSE),"")</f>
        <v/>
      </c>
      <c r="F196" t="e">
        <f t="shared" si="3"/>
        <v>#VALUE!</v>
      </c>
    </row>
    <row r="197" spans="3:6" x14ac:dyDescent="0.3">
      <c r="C197" t="str">
        <f>IFERROR(VLOOKUP(B197,Inventory!A:G,2,FALSE),"")</f>
        <v/>
      </c>
      <c r="E197" t="str">
        <f>IFERROR(VLOOKUP(B197,Inventory!A:G,5,FALSE),"")</f>
        <v/>
      </c>
      <c r="F197" t="e">
        <f t="shared" si="3"/>
        <v>#VALUE!</v>
      </c>
    </row>
    <row r="198" spans="3:6" x14ac:dyDescent="0.3">
      <c r="C198" t="str">
        <f>IFERROR(VLOOKUP(B198,Inventory!A:G,2,FALSE),"")</f>
        <v/>
      </c>
      <c r="E198" t="str">
        <f>IFERROR(VLOOKUP(B198,Inventory!A:G,5,FALSE),"")</f>
        <v/>
      </c>
      <c r="F198" t="e">
        <f t="shared" si="3"/>
        <v>#VALUE!</v>
      </c>
    </row>
    <row r="199" spans="3:6" x14ac:dyDescent="0.3">
      <c r="C199" t="str">
        <f>IFERROR(VLOOKUP(B199,Inventory!A:G,2,FALSE),"")</f>
        <v/>
      </c>
      <c r="E199" t="str">
        <f>IFERROR(VLOOKUP(B199,Inventory!A:G,5,FALSE),"")</f>
        <v/>
      </c>
      <c r="F199" t="e">
        <f t="shared" si="3"/>
        <v>#VALUE!</v>
      </c>
    </row>
    <row r="200" spans="3:6" x14ac:dyDescent="0.3">
      <c r="C200" t="str">
        <f>IFERROR(VLOOKUP(B200,Inventory!A:G,2,FALSE),"")</f>
        <v/>
      </c>
      <c r="E200" t="str">
        <f>IFERROR(VLOOKUP(B200,Inventory!A:G,5,FALSE),"")</f>
        <v/>
      </c>
      <c r="F200" t="e">
        <f t="shared" si="3"/>
        <v>#VALUE!</v>
      </c>
    </row>
    <row r="201" spans="3:6" x14ac:dyDescent="0.3">
      <c r="C201" t="str">
        <f>IFERROR(VLOOKUP(B201,Inventory!A:G,2,FALSE),"")</f>
        <v/>
      </c>
      <c r="E201" t="str">
        <f>IFERROR(VLOOKUP(B201,Inventory!A:G,5,FALSE),"")</f>
        <v/>
      </c>
      <c r="F201" t="e">
        <f t="shared" si="3"/>
        <v>#VALUE!</v>
      </c>
    </row>
    <row r="202" spans="3:6" x14ac:dyDescent="0.3">
      <c r="C202" t="str">
        <f>IFERROR(VLOOKUP(B202,Inventory!A:G,2,FALSE),"")</f>
        <v/>
      </c>
      <c r="E202" t="str">
        <f>IFERROR(VLOOKUP(B202,Inventory!A:G,5,FALSE),"")</f>
        <v/>
      </c>
      <c r="F202" t="e">
        <f t="shared" si="3"/>
        <v>#VALUE!</v>
      </c>
    </row>
    <row r="203" spans="3:6" x14ac:dyDescent="0.3">
      <c r="C203" t="str">
        <f>IFERROR(VLOOKUP(B203,Inventory!A:G,2,FALSE),"")</f>
        <v/>
      </c>
      <c r="E203" t="str">
        <f>IFERROR(VLOOKUP(B203,Inventory!A:G,5,FALSE),"")</f>
        <v/>
      </c>
      <c r="F203" t="e">
        <f t="shared" si="3"/>
        <v>#VALUE!</v>
      </c>
    </row>
    <row r="204" spans="3:6" x14ac:dyDescent="0.3">
      <c r="C204" t="str">
        <f>IFERROR(VLOOKUP(B204,Inventory!A:G,2,FALSE),"")</f>
        <v/>
      </c>
      <c r="E204" t="str">
        <f>IFERROR(VLOOKUP(B204,Inventory!A:G,5,FALSE),"")</f>
        <v/>
      </c>
      <c r="F204" t="e">
        <f t="shared" si="3"/>
        <v>#VALUE!</v>
      </c>
    </row>
    <row r="205" spans="3:6" x14ac:dyDescent="0.3">
      <c r="C205" t="str">
        <f>IFERROR(VLOOKUP(B205,Inventory!A:G,2,FALSE),"")</f>
        <v/>
      </c>
      <c r="E205" t="str">
        <f>IFERROR(VLOOKUP(B205,Inventory!A:G,5,FALSE),"")</f>
        <v/>
      </c>
      <c r="F205" t="e">
        <f t="shared" si="3"/>
        <v>#VALUE!</v>
      </c>
    </row>
    <row r="206" spans="3:6" x14ac:dyDescent="0.3">
      <c r="C206" t="str">
        <f>IFERROR(VLOOKUP(B206,Inventory!A:G,2,FALSE),"")</f>
        <v/>
      </c>
      <c r="E206" t="str">
        <f>IFERROR(VLOOKUP(B206,Inventory!A:G,5,FALSE),"")</f>
        <v/>
      </c>
      <c r="F206" t="e">
        <f t="shared" si="3"/>
        <v>#VALUE!</v>
      </c>
    </row>
    <row r="207" spans="3:6" x14ac:dyDescent="0.3">
      <c r="C207" t="str">
        <f>IFERROR(VLOOKUP(B207,Inventory!A:G,2,FALSE),"")</f>
        <v/>
      </c>
      <c r="E207" t="str">
        <f>IFERROR(VLOOKUP(B207,Inventory!A:G,5,FALSE),"")</f>
        <v/>
      </c>
      <c r="F207" t="e">
        <f t="shared" si="3"/>
        <v>#VALUE!</v>
      </c>
    </row>
    <row r="208" spans="3:6" x14ac:dyDescent="0.3">
      <c r="C208" t="str">
        <f>IFERROR(VLOOKUP(B208,Inventory!A:G,2,FALSE),"")</f>
        <v/>
      </c>
      <c r="E208" t="str">
        <f>IFERROR(VLOOKUP(B208,Inventory!A:G,5,FALSE),"")</f>
        <v/>
      </c>
      <c r="F208" t="e">
        <f t="shared" si="3"/>
        <v>#VALUE!</v>
      </c>
    </row>
    <row r="209" spans="3:6" x14ac:dyDescent="0.3">
      <c r="C209" t="str">
        <f>IFERROR(VLOOKUP(B209,Inventory!A:G,2,FALSE),"")</f>
        <v/>
      </c>
      <c r="E209" t="str">
        <f>IFERROR(VLOOKUP(B209,Inventory!A:G,5,FALSE),"")</f>
        <v/>
      </c>
      <c r="F209" t="e">
        <f t="shared" si="3"/>
        <v>#VALUE!</v>
      </c>
    </row>
    <row r="210" spans="3:6" x14ac:dyDescent="0.3">
      <c r="C210" t="str">
        <f>IFERROR(VLOOKUP(B210,Inventory!A:G,2,FALSE),"")</f>
        <v/>
      </c>
      <c r="E210" t="str">
        <f>IFERROR(VLOOKUP(B210,Inventory!A:G,5,FALSE),"")</f>
        <v/>
      </c>
      <c r="F210" t="e">
        <f t="shared" si="3"/>
        <v>#VALUE!</v>
      </c>
    </row>
    <row r="211" spans="3:6" x14ac:dyDescent="0.3">
      <c r="C211" t="str">
        <f>IFERROR(VLOOKUP(B211,Inventory!A:G,2,FALSE),"")</f>
        <v/>
      </c>
      <c r="E211" t="str">
        <f>IFERROR(VLOOKUP(B211,Inventory!A:G,5,FALSE),"")</f>
        <v/>
      </c>
      <c r="F211" t="e">
        <f t="shared" si="3"/>
        <v>#VALUE!</v>
      </c>
    </row>
    <row r="212" spans="3:6" x14ac:dyDescent="0.3">
      <c r="C212" t="str">
        <f>IFERROR(VLOOKUP(B212,Inventory!A:G,2,FALSE),"")</f>
        <v/>
      </c>
      <c r="E212" t="str">
        <f>IFERROR(VLOOKUP(B212,Inventory!A:G,5,FALSE),"")</f>
        <v/>
      </c>
      <c r="F212" t="e">
        <f t="shared" si="3"/>
        <v>#VALUE!</v>
      </c>
    </row>
    <row r="213" spans="3:6" x14ac:dyDescent="0.3">
      <c r="C213" t="str">
        <f>IFERROR(VLOOKUP(B213,Inventory!A:G,2,FALSE),"")</f>
        <v/>
      </c>
      <c r="E213" t="str">
        <f>IFERROR(VLOOKUP(B213,Inventory!A:G,5,FALSE),"")</f>
        <v/>
      </c>
      <c r="F213" t="e">
        <f t="shared" si="3"/>
        <v>#VALUE!</v>
      </c>
    </row>
    <row r="214" spans="3:6" x14ac:dyDescent="0.3">
      <c r="C214" t="str">
        <f>IFERROR(VLOOKUP(B214,Inventory!A:G,2,FALSE),"")</f>
        <v/>
      </c>
      <c r="E214" t="str">
        <f>IFERROR(VLOOKUP(B214,Inventory!A:G,5,FALSE),"")</f>
        <v/>
      </c>
      <c r="F214" t="e">
        <f t="shared" si="3"/>
        <v>#VALUE!</v>
      </c>
    </row>
    <row r="215" spans="3:6" x14ac:dyDescent="0.3">
      <c r="C215" t="str">
        <f>IFERROR(VLOOKUP(B215,Inventory!A:G,2,FALSE),"")</f>
        <v/>
      </c>
      <c r="E215" t="str">
        <f>IFERROR(VLOOKUP(B215,Inventory!A:G,5,FALSE),"")</f>
        <v/>
      </c>
      <c r="F215" t="e">
        <f t="shared" si="3"/>
        <v>#VALUE!</v>
      </c>
    </row>
    <row r="216" spans="3:6" x14ac:dyDescent="0.3">
      <c r="C216" t="str">
        <f>IFERROR(VLOOKUP(B216,Inventory!A:G,2,FALSE),"")</f>
        <v/>
      </c>
      <c r="E216" t="str">
        <f>IFERROR(VLOOKUP(B216,Inventory!A:G,5,FALSE),"")</f>
        <v/>
      </c>
      <c r="F216" t="e">
        <f t="shared" si="3"/>
        <v>#VALUE!</v>
      </c>
    </row>
    <row r="217" spans="3:6" x14ac:dyDescent="0.3">
      <c r="C217" t="str">
        <f>IFERROR(VLOOKUP(B217,Inventory!A:G,2,FALSE),"")</f>
        <v/>
      </c>
      <c r="E217" t="str">
        <f>IFERROR(VLOOKUP(B217,Inventory!A:G,5,FALSE),"")</f>
        <v/>
      </c>
      <c r="F217" t="e">
        <f t="shared" si="3"/>
        <v>#VALUE!</v>
      </c>
    </row>
    <row r="218" spans="3:6" x14ac:dyDescent="0.3">
      <c r="C218" t="str">
        <f>IFERROR(VLOOKUP(B218,Inventory!A:G,2,FALSE),"")</f>
        <v/>
      </c>
      <c r="E218" t="str">
        <f>IFERROR(VLOOKUP(B218,Inventory!A:G,5,FALSE),"")</f>
        <v/>
      </c>
      <c r="F218" t="e">
        <f t="shared" si="3"/>
        <v>#VALUE!</v>
      </c>
    </row>
    <row r="219" spans="3:6" x14ac:dyDescent="0.3">
      <c r="C219" t="str">
        <f>IFERROR(VLOOKUP(B219,Inventory!A:G,2,FALSE),"")</f>
        <v/>
      </c>
      <c r="E219" t="str">
        <f>IFERROR(VLOOKUP(B219,Inventory!A:G,5,FALSE),"")</f>
        <v/>
      </c>
      <c r="F219" t="e">
        <f t="shared" si="3"/>
        <v>#VALUE!</v>
      </c>
    </row>
    <row r="220" spans="3:6" x14ac:dyDescent="0.3">
      <c r="C220" t="str">
        <f>IFERROR(VLOOKUP(B220,Inventory!A:G,2,FALSE),"")</f>
        <v/>
      </c>
      <c r="E220" t="str">
        <f>IFERROR(VLOOKUP(B220,Inventory!A:G,5,FALSE),"")</f>
        <v/>
      </c>
      <c r="F220" t="e">
        <f t="shared" si="3"/>
        <v>#VALUE!</v>
      </c>
    </row>
    <row r="221" spans="3:6" x14ac:dyDescent="0.3">
      <c r="C221" t="str">
        <f>IFERROR(VLOOKUP(B221,Inventory!A:G,2,FALSE),"")</f>
        <v/>
      </c>
      <c r="E221" t="str">
        <f>IFERROR(VLOOKUP(B221,Inventory!A:G,5,FALSE),"")</f>
        <v/>
      </c>
      <c r="F221" t="e">
        <f t="shared" si="3"/>
        <v>#VALUE!</v>
      </c>
    </row>
    <row r="222" spans="3:6" x14ac:dyDescent="0.3">
      <c r="C222" t="str">
        <f>IFERROR(VLOOKUP(B222,Inventory!A:G,2,FALSE),"")</f>
        <v/>
      </c>
      <c r="E222" t="str">
        <f>IFERROR(VLOOKUP(B222,Inventory!A:G,5,FALSE),"")</f>
        <v/>
      </c>
      <c r="F222" t="e">
        <f t="shared" si="3"/>
        <v>#VALUE!</v>
      </c>
    </row>
    <row r="223" spans="3:6" x14ac:dyDescent="0.3">
      <c r="C223" t="str">
        <f>IFERROR(VLOOKUP(B223,Inventory!A:G,2,FALSE),"")</f>
        <v/>
      </c>
      <c r="E223" t="str">
        <f>IFERROR(VLOOKUP(B223,Inventory!A:G,5,FALSE),"")</f>
        <v/>
      </c>
      <c r="F223" t="e">
        <f t="shared" si="3"/>
        <v>#VALUE!</v>
      </c>
    </row>
    <row r="224" spans="3:6" x14ac:dyDescent="0.3">
      <c r="C224" t="str">
        <f>IFERROR(VLOOKUP(B224,Inventory!A:G,2,FALSE),"")</f>
        <v/>
      </c>
      <c r="E224" t="str">
        <f>IFERROR(VLOOKUP(B224,Inventory!A:G,5,FALSE),"")</f>
        <v/>
      </c>
      <c r="F224" t="e">
        <f t="shared" si="3"/>
        <v>#VALUE!</v>
      </c>
    </row>
    <row r="225" spans="3:6" x14ac:dyDescent="0.3">
      <c r="C225" t="str">
        <f>IFERROR(VLOOKUP(B225,Inventory!A:G,2,FALSE),"")</f>
        <v/>
      </c>
      <c r="E225" t="str">
        <f>IFERROR(VLOOKUP(B225,Inventory!A:G,5,FALSE),"")</f>
        <v/>
      </c>
      <c r="F225" t="e">
        <f t="shared" si="3"/>
        <v>#VALUE!</v>
      </c>
    </row>
    <row r="226" spans="3:6" x14ac:dyDescent="0.3">
      <c r="C226" t="str">
        <f>IFERROR(VLOOKUP(B226,Inventory!A:G,2,FALSE),"")</f>
        <v/>
      </c>
      <c r="E226" t="str">
        <f>IFERROR(VLOOKUP(B226,Inventory!A:G,5,FALSE),"")</f>
        <v/>
      </c>
      <c r="F226" t="e">
        <f t="shared" si="3"/>
        <v>#VALUE!</v>
      </c>
    </row>
    <row r="227" spans="3:6" x14ac:dyDescent="0.3">
      <c r="C227" t="str">
        <f>IFERROR(VLOOKUP(B227,Inventory!A:G,2,FALSE),"")</f>
        <v/>
      </c>
      <c r="E227" t="str">
        <f>IFERROR(VLOOKUP(B227,Inventory!A:G,5,FALSE),"")</f>
        <v/>
      </c>
      <c r="F227" t="e">
        <f t="shared" si="3"/>
        <v>#VALUE!</v>
      </c>
    </row>
    <row r="228" spans="3:6" x14ac:dyDescent="0.3">
      <c r="C228" t="str">
        <f>IFERROR(VLOOKUP(B228,Inventory!A:G,2,FALSE),"")</f>
        <v/>
      </c>
      <c r="E228" t="str">
        <f>IFERROR(VLOOKUP(B228,Inventory!A:G,5,FALSE),"")</f>
        <v/>
      </c>
      <c r="F228" t="e">
        <f t="shared" si="3"/>
        <v>#VALUE!</v>
      </c>
    </row>
    <row r="229" spans="3:6" x14ac:dyDescent="0.3">
      <c r="C229" t="str">
        <f>IFERROR(VLOOKUP(B229,Inventory!A:G,2,FALSE),"")</f>
        <v/>
      </c>
      <c r="E229" t="str">
        <f>IFERROR(VLOOKUP(B229,Inventory!A:G,5,FALSE),"")</f>
        <v/>
      </c>
      <c r="F229" t="e">
        <f t="shared" si="3"/>
        <v>#VALUE!</v>
      </c>
    </row>
    <row r="230" spans="3:6" x14ac:dyDescent="0.3">
      <c r="C230" t="str">
        <f>IFERROR(VLOOKUP(B230,Inventory!A:G,2,FALSE),"")</f>
        <v/>
      </c>
      <c r="E230" t="str">
        <f>IFERROR(VLOOKUP(B230,Inventory!A:G,5,FALSE),"")</f>
        <v/>
      </c>
      <c r="F230" t="e">
        <f t="shared" si="3"/>
        <v>#VALUE!</v>
      </c>
    </row>
    <row r="231" spans="3:6" x14ac:dyDescent="0.3">
      <c r="C231" t="str">
        <f>IFERROR(VLOOKUP(B231,Inventory!A:G,2,FALSE),"")</f>
        <v/>
      </c>
      <c r="E231" t="str">
        <f>IFERROR(VLOOKUP(B231,Inventory!A:G,5,FALSE),"")</f>
        <v/>
      </c>
      <c r="F231" t="e">
        <f t="shared" si="3"/>
        <v>#VALUE!</v>
      </c>
    </row>
    <row r="232" spans="3:6" x14ac:dyDescent="0.3">
      <c r="C232" t="str">
        <f>IFERROR(VLOOKUP(B232,Inventory!A:G,2,FALSE),"")</f>
        <v/>
      </c>
      <c r="E232" t="str">
        <f>IFERROR(VLOOKUP(B232,Inventory!A:G,5,FALSE),"")</f>
        <v/>
      </c>
      <c r="F232" t="e">
        <f t="shared" si="3"/>
        <v>#VALUE!</v>
      </c>
    </row>
    <row r="233" spans="3:6" x14ac:dyDescent="0.3">
      <c r="C233" t="str">
        <f>IFERROR(VLOOKUP(B233,Inventory!A:G,2,FALSE),"")</f>
        <v/>
      </c>
      <c r="E233" t="str">
        <f>IFERROR(VLOOKUP(B233,Inventory!A:G,5,FALSE),"")</f>
        <v/>
      </c>
      <c r="F233" t="e">
        <f t="shared" si="3"/>
        <v>#VALUE!</v>
      </c>
    </row>
    <row r="234" spans="3:6" x14ac:dyDescent="0.3">
      <c r="C234" t="str">
        <f>IFERROR(VLOOKUP(B234,Inventory!A:G,2,FALSE),"")</f>
        <v/>
      </c>
      <c r="E234" t="str">
        <f>IFERROR(VLOOKUP(B234,Inventory!A:G,5,FALSE),"")</f>
        <v/>
      </c>
      <c r="F234" t="e">
        <f t="shared" si="3"/>
        <v>#VALUE!</v>
      </c>
    </row>
    <row r="235" spans="3:6" x14ac:dyDescent="0.3">
      <c r="C235" t="str">
        <f>IFERROR(VLOOKUP(B235,Inventory!A:G,2,FALSE),"")</f>
        <v/>
      </c>
      <c r="E235" t="str">
        <f>IFERROR(VLOOKUP(B235,Inventory!A:G,5,FALSE),"")</f>
        <v/>
      </c>
      <c r="F235" t="e">
        <f t="shared" si="3"/>
        <v>#VALUE!</v>
      </c>
    </row>
    <row r="236" spans="3:6" x14ac:dyDescent="0.3">
      <c r="C236" t="str">
        <f>IFERROR(VLOOKUP(B236,Inventory!A:G,2,FALSE),"")</f>
        <v/>
      </c>
      <c r="E236" t="str">
        <f>IFERROR(VLOOKUP(B236,Inventory!A:G,5,FALSE),"")</f>
        <v/>
      </c>
      <c r="F236" t="e">
        <f t="shared" si="3"/>
        <v>#VALUE!</v>
      </c>
    </row>
    <row r="237" spans="3:6" x14ac:dyDescent="0.3">
      <c r="C237" t="str">
        <f>IFERROR(VLOOKUP(B237,Inventory!A:G,2,FALSE),"")</f>
        <v/>
      </c>
      <c r="E237" t="str">
        <f>IFERROR(VLOOKUP(B237,Inventory!A:G,5,FALSE),"")</f>
        <v/>
      </c>
      <c r="F237" t="e">
        <f t="shared" si="3"/>
        <v>#VALUE!</v>
      </c>
    </row>
    <row r="238" spans="3:6" x14ac:dyDescent="0.3">
      <c r="C238" t="str">
        <f>IFERROR(VLOOKUP(B238,Inventory!A:G,2,FALSE),"")</f>
        <v/>
      </c>
      <c r="E238" t="str">
        <f>IFERROR(VLOOKUP(B238,Inventory!A:G,5,FALSE),"")</f>
        <v/>
      </c>
      <c r="F238" t="e">
        <f t="shared" si="3"/>
        <v>#VALUE!</v>
      </c>
    </row>
    <row r="239" spans="3:6" x14ac:dyDescent="0.3">
      <c r="C239" t="str">
        <f>IFERROR(VLOOKUP(B239,Inventory!A:G,2,FALSE),"")</f>
        <v/>
      </c>
      <c r="E239" t="str">
        <f>IFERROR(VLOOKUP(B239,Inventory!A:G,5,FALSE),"")</f>
        <v/>
      </c>
      <c r="F239" t="e">
        <f t="shared" si="3"/>
        <v>#VALUE!</v>
      </c>
    </row>
    <row r="240" spans="3:6" x14ac:dyDescent="0.3">
      <c r="C240" t="str">
        <f>IFERROR(VLOOKUP(B240,Inventory!A:G,2,FALSE),"")</f>
        <v/>
      </c>
      <c r="E240" t="str">
        <f>IFERROR(VLOOKUP(B240,Inventory!A:G,5,FALSE),"")</f>
        <v/>
      </c>
      <c r="F240" t="e">
        <f t="shared" si="3"/>
        <v>#VALUE!</v>
      </c>
    </row>
    <row r="241" spans="3:6" x14ac:dyDescent="0.3">
      <c r="C241" t="str">
        <f>IFERROR(VLOOKUP(B241,Inventory!A:G,2,FALSE),"")</f>
        <v/>
      </c>
      <c r="E241" t="str">
        <f>IFERROR(VLOOKUP(B241,Inventory!A:G,5,FALSE),"")</f>
        <v/>
      </c>
      <c r="F241" t="e">
        <f t="shared" si="3"/>
        <v>#VALUE!</v>
      </c>
    </row>
    <row r="242" spans="3:6" x14ac:dyDescent="0.3">
      <c r="C242" t="str">
        <f>IFERROR(VLOOKUP(B242,Inventory!A:G,2,FALSE),"")</f>
        <v/>
      </c>
      <c r="E242" t="str">
        <f>IFERROR(VLOOKUP(B242,Inventory!A:G,5,FALSE),"")</f>
        <v/>
      </c>
      <c r="F242" t="e">
        <f t="shared" si="3"/>
        <v>#VALUE!</v>
      </c>
    </row>
    <row r="243" spans="3:6" x14ac:dyDescent="0.3">
      <c r="C243" t="str">
        <f>IFERROR(VLOOKUP(B243,Inventory!A:G,2,FALSE),"")</f>
        <v/>
      </c>
      <c r="E243" t="str">
        <f>IFERROR(VLOOKUP(B243,Inventory!A:G,5,FALSE),"")</f>
        <v/>
      </c>
      <c r="F243" t="e">
        <f t="shared" si="3"/>
        <v>#VALUE!</v>
      </c>
    </row>
    <row r="244" spans="3:6" x14ac:dyDescent="0.3">
      <c r="C244" t="str">
        <f>IFERROR(VLOOKUP(B244,Inventory!A:G,2,FALSE),"")</f>
        <v/>
      </c>
      <c r="E244" t="str">
        <f>IFERROR(VLOOKUP(B244,Inventory!A:G,5,FALSE),"")</f>
        <v/>
      </c>
      <c r="F244" t="e">
        <f t="shared" si="3"/>
        <v>#VALUE!</v>
      </c>
    </row>
    <row r="245" spans="3:6" x14ac:dyDescent="0.3">
      <c r="C245" t="str">
        <f>IFERROR(VLOOKUP(B245,Inventory!A:G,2,FALSE),"")</f>
        <v/>
      </c>
      <c r="E245" t="str">
        <f>IFERROR(VLOOKUP(B245,Inventory!A:G,5,FALSE),"")</f>
        <v/>
      </c>
      <c r="F245" t="e">
        <f t="shared" si="3"/>
        <v>#VALUE!</v>
      </c>
    </row>
    <row r="246" spans="3:6" x14ac:dyDescent="0.3">
      <c r="C246" t="str">
        <f>IFERROR(VLOOKUP(B246,Inventory!A:G,2,FALSE),"")</f>
        <v/>
      </c>
      <c r="E246" t="str">
        <f>IFERROR(VLOOKUP(B246,Inventory!A:G,5,FALSE),"")</f>
        <v/>
      </c>
      <c r="F246" t="e">
        <f t="shared" si="3"/>
        <v>#VALUE!</v>
      </c>
    </row>
    <row r="247" spans="3:6" x14ac:dyDescent="0.3">
      <c r="C247" t="str">
        <f>IFERROR(VLOOKUP(B247,Inventory!A:G,2,FALSE),"")</f>
        <v/>
      </c>
      <c r="E247" t="str">
        <f>IFERROR(VLOOKUP(B247,Inventory!A:G,5,FALSE),"")</f>
        <v/>
      </c>
      <c r="F247" t="e">
        <f t="shared" si="3"/>
        <v>#VALUE!</v>
      </c>
    </row>
    <row r="248" spans="3:6" x14ac:dyDescent="0.3">
      <c r="C248" t="str">
        <f>IFERROR(VLOOKUP(B248,Inventory!A:G,2,FALSE),"")</f>
        <v/>
      </c>
      <c r="E248" t="str">
        <f>IFERROR(VLOOKUP(B248,Inventory!A:G,5,FALSE),"")</f>
        <v/>
      </c>
      <c r="F248" t="e">
        <f t="shared" si="3"/>
        <v>#VALUE!</v>
      </c>
    </row>
    <row r="249" spans="3:6" x14ac:dyDescent="0.3">
      <c r="C249" t="str">
        <f>IFERROR(VLOOKUP(B249,Inventory!A:G,2,FALSE),"")</f>
        <v/>
      </c>
      <c r="E249" t="str">
        <f>IFERROR(VLOOKUP(B249,Inventory!A:G,5,FALSE),"")</f>
        <v/>
      </c>
      <c r="F249" t="e">
        <f t="shared" si="3"/>
        <v>#VALUE!</v>
      </c>
    </row>
    <row r="250" spans="3:6" x14ac:dyDescent="0.3">
      <c r="C250" t="str">
        <f>IFERROR(VLOOKUP(B250,Inventory!A:G,2,FALSE),"")</f>
        <v/>
      </c>
      <c r="E250" t="str">
        <f>IFERROR(VLOOKUP(B250,Inventory!A:G,5,FALSE),"")</f>
        <v/>
      </c>
      <c r="F250" t="e">
        <f t="shared" si="3"/>
        <v>#VALUE!</v>
      </c>
    </row>
    <row r="251" spans="3:6" x14ac:dyDescent="0.3">
      <c r="C251" t="str">
        <f>IFERROR(VLOOKUP(B251,Inventory!A:G,2,FALSE),"")</f>
        <v/>
      </c>
      <c r="E251" t="str">
        <f>IFERROR(VLOOKUP(B251,Inventory!A:G,5,FALSE),"")</f>
        <v/>
      </c>
      <c r="F251" t="e">
        <f t="shared" si="3"/>
        <v>#VALUE!</v>
      </c>
    </row>
    <row r="252" spans="3:6" x14ac:dyDescent="0.3">
      <c r="C252" t="str">
        <f>IFERROR(VLOOKUP(B252,Inventory!A:G,2,FALSE),"")</f>
        <v/>
      </c>
      <c r="E252" t="str">
        <f>IFERROR(VLOOKUP(B252,Inventory!A:G,5,FALSE),"")</f>
        <v/>
      </c>
      <c r="F252" t="e">
        <f t="shared" si="3"/>
        <v>#VALUE!</v>
      </c>
    </row>
    <row r="253" spans="3:6" x14ac:dyDescent="0.3">
      <c r="C253" t="str">
        <f>IFERROR(VLOOKUP(B253,Inventory!A:G,2,FALSE),"")</f>
        <v/>
      </c>
      <c r="E253" t="str">
        <f>IFERROR(VLOOKUP(B253,Inventory!A:G,5,FALSE),"")</f>
        <v/>
      </c>
      <c r="F253" t="e">
        <f t="shared" si="3"/>
        <v>#VALUE!</v>
      </c>
    </row>
    <row r="254" spans="3:6" x14ac:dyDescent="0.3">
      <c r="C254" t="str">
        <f>IFERROR(VLOOKUP(B254,Inventory!A:G,2,FALSE),"")</f>
        <v/>
      </c>
      <c r="E254" t="str">
        <f>IFERROR(VLOOKUP(B254,Inventory!A:G,5,FALSE),"")</f>
        <v/>
      </c>
      <c r="F254" t="e">
        <f t="shared" si="3"/>
        <v>#VALUE!</v>
      </c>
    </row>
    <row r="255" spans="3:6" x14ac:dyDescent="0.3">
      <c r="C255" t="str">
        <f>IFERROR(VLOOKUP(B255,Inventory!A:G,2,FALSE),"")</f>
        <v/>
      </c>
      <c r="E255" t="str">
        <f>IFERROR(VLOOKUP(B255,Inventory!A:G,5,FALSE),"")</f>
        <v/>
      </c>
      <c r="F255" t="e">
        <f t="shared" si="3"/>
        <v>#VALUE!</v>
      </c>
    </row>
    <row r="256" spans="3:6" x14ac:dyDescent="0.3">
      <c r="C256" t="str">
        <f>IFERROR(VLOOKUP(B256,Inventory!A:G,2,FALSE),"")</f>
        <v/>
      </c>
      <c r="E256" t="str">
        <f>IFERROR(VLOOKUP(B256,Inventory!A:G,5,FALSE),"")</f>
        <v/>
      </c>
      <c r="F256" t="e">
        <f t="shared" si="3"/>
        <v>#VALUE!</v>
      </c>
    </row>
    <row r="257" spans="3:6" x14ac:dyDescent="0.3">
      <c r="C257" t="str">
        <f>IFERROR(VLOOKUP(B257,Inventory!A:G,2,FALSE),"")</f>
        <v/>
      </c>
      <c r="E257" t="str">
        <f>IFERROR(VLOOKUP(B257,Inventory!A:G,5,FALSE),"")</f>
        <v/>
      </c>
      <c r="F257" t="e">
        <f t="shared" si="3"/>
        <v>#VALUE!</v>
      </c>
    </row>
    <row r="258" spans="3:6" x14ac:dyDescent="0.3">
      <c r="C258" t="str">
        <f>IFERROR(VLOOKUP(B258,Inventory!A:G,2,FALSE),"")</f>
        <v/>
      </c>
      <c r="E258" t="str">
        <f>IFERROR(VLOOKUP(B258,Inventory!A:G,5,FALSE),"")</f>
        <v/>
      </c>
      <c r="F258" t="e">
        <f t="shared" ref="F258:F321" si="4">D258*E258</f>
        <v>#VALUE!</v>
      </c>
    </row>
    <row r="259" spans="3:6" x14ac:dyDescent="0.3">
      <c r="C259" t="str">
        <f>IFERROR(VLOOKUP(B259,Inventory!A:G,2,FALSE),"")</f>
        <v/>
      </c>
      <c r="E259" t="str">
        <f>IFERROR(VLOOKUP(B259,Inventory!A:G,5,FALSE),"")</f>
        <v/>
      </c>
      <c r="F259" t="e">
        <f t="shared" si="4"/>
        <v>#VALUE!</v>
      </c>
    </row>
    <row r="260" spans="3:6" x14ac:dyDescent="0.3">
      <c r="C260" t="str">
        <f>IFERROR(VLOOKUP(B260,Inventory!A:G,2,FALSE),"")</f>
        <v/>
      </c>
      <c r="E260" t="str">
        <f>IFERROR(VLOOKUP(B260,Inventory!A:G,5,FALSE),"")</f>
        <v/>
      </c>
      <c r="F260" t="e">
        <f t="shared" si="4"/>
        <v>#VALUE!</v>
      </c>
    </row>
    <row r="261" spans="3:6" x14ac:dyDescent="0.3">
      <c r="C261" t="str">
        <f>IFERROR(VLOOKUP(B261,Inventory!A:G,2,FALSE),"")</f>
        <v/>
      </c>
      <c r="E261" t="str">
        <f>IFERROR(VLOOKUP(B261,Inventory!A:G,5,FALSE),"")</f>
        <v/>
      </c>
      <c r="F261" t="e">
        <f t="shared" si="4"/>
        <v>#VALUE!</v>
      </c>
    </row>
    <row r="262" spans="3:6" x14ac:dyDescent="0.3">
      <c r="C262" t="str">
        <f>IFERROR(VLOOKUP(B262,Inventory!A:G,2,FALSE),"")</f>
        <v/>
      </c>
      <c r="E262" t="str">
        <f>IFERROR(VLOOKUP(B262,Inventory!A:G,5,FALSE),"")</f>
        <v/>
      </c>
      <c r="F262" t="e">
        <f t="shared" si="4"/>
        <v>#VALUE!</v>
      </c>
    </row>
    <row r="263" spans="3:6" x14ac:dyDescent="0.3">
      <c r="C263" t="str">
        <f>IFERROR(VLOOKUP(B263,Inventory!A:G,2,FALSE),"")</f>
        <v/>
      </c>
      <c r="E263" t="str">
        <f>IFERROR(VLOOKUP(B263,Inventory!A:G,5,FALSE),"")</f>
        <v/>
      </c>
      <c r="F263" t="e">
        <f t="shared" si="4"/>
        <v>#VALUE!</v>
      </c>
    </row>
    <row r="264" spans="3:6" x14ac:dyDescent="0.3">
      <c r="C264" t="str">
        <f>IFERROR(VLOOKUP(B264,Inventory!A:G,2,FALSE),"")</f>
        <v/>
      </c>
      <c r="E264" t="str">
        <f>IFERROR(VLOOKUP(B264,Inventory!A:G,5,FALSE),"")</f>
        <v/>
      </c>
      <c r="F264" t="e">
        <f t="shared" si="4"/>
        <v>#VALUE!</v>
      </c>
    </row>
    <row r="265" spans="3:6" x14ac:dyDescent="0.3">
      <c r="C265" t="str">
        <f>IFERROR(VLOOKUP(B265,Inventory!A:G,2,FALSE),"")</f>
        <v/>
      </c>
      <c r="E265" t="str">
        <f>IFERROR(VLOOKUP(B265,Inventory!A:G,5,FALSE),"")</f>
        <v/>
      </c>
      <c r="F265" t="e">
        <f t="shared" si="4"/>
        <v>#VALUE!</v>
      </c>
    </row>
    <row r="266" spans="3:6" x14ac:dyDescent="0.3">
      <c r="C266" t="str">
        <f>IFERROR(VLOOKUP(B266,Inventory!A:G,2,FALSE),"")</f>
        <v/>
      </c>
      <c r="E266" t="str">
        <f>IFERROR(VLOOKUP(B266,Inventory!A:G,5,FALSE),"")</f>
        <v/>
      </c>
      <c r="F266" t="e">
        <f t="shared" si="4"/>
        <v>#VALUE!</v>
      </c>
    </row>
    <row r="267" spans="3:6" x14ac:dyDescent="0.3">
      <c r="C267" t="str">
        <f>IFERROR(VLOOKUP(B267,Inventory!A:G,2,FALSE),"")</f>
        <v/>
      </c>
      <c r="E267" t="str">
        <f>IFERROR(VLOOKUP(B267,Inventory!A:G,5,FALSE),"")</f>
        <v/>
      </c>
      <c r="F267" t="e">
        <f t="shared" si="4"/>
        <v>#VALUE!</v>
      </c>
    </row>
    <row r="268" spans="3:6" x14ac:dyDescent="0.3">
      <c r="C268" t="str">
        <f>IFERROR(VLOOKUP(B268,Inventory!A:G,2,FALSE),"")</f>
        <v/>
      </c>
      <c r="E268" t="str">
        <f>IFERROR(VLOOKUP(B268,Inventory!A:G,5,FALSE),"")</f>
        <v/>
      </c>
      <c r="F268" t="e">
        <f t="shared" si="4"/>
        <v>#VALUE!</v>
      </c>
    </row>
    <row r="269" spans="3:6" x14ac:dyDescent="0.3">
      <c r="C269" t="str">
        <f>IFERROR(VLOOKUP(B269,Inventory!A:G,2,FALSE),"")</f>
        <v/>
      </c>
      <c r="E269" t="str">
        <f>IFERROR(VLOOKUP(B269,Inventory!A:G,5,FALSE),"")</f>
        <v/>
      </c>
      <c r="F269" t="e">
        <f t="shared" si="4"/>
        <v>#VALUE!</v>
      </c>
    </row>
    <row r="270" spans="3:6" x14ac:dyDescent="0.3">
      <c r="C270" t="str">
        <f>IFERROR(VLOOKUP(B270,Inventory!A:G,2,FALSE),"")</f>
        <v/>
      </c>
      <c r="E270" t="str">
        <f>IFERROR(VLOOKUP(B270,Inventory!A:G,5,FALSE),"")</f>
        <v/>
      </c>
      <c r="F270" t="e">
        <f t="shared" si="4"/>
        <v>#VALUE!</v>
      </c>
    </row>
    <row r="271" spans="3:6" x14ac:dyDescent="0.3">
      <c r="C271" t="str">
        <f>IFERROR(VLOOKUP(B271,Inventory!A:G,2,FALSE),"")</f>
        <v/>
      </c>
      <c r="E271" t="str">
        <f>IFERROR(VLOOKUP(B271,Inventory!A:G,5,FALSE),"")</f>
        <v/>
      </c>
      <c r="F271" t="e">
        <f t="shared" si="4"/>
        <v>#VALUE!</v>
      </c>
    </row>
    <row r="272" spans="3:6" x14ac:dyDescent="0.3">
      <c r="C272" t="str">
        <f>IFERROR(VLOOKUP(B272,Inventory!A:G,2,FALSE),"")</f>
        <v/>
      </c>
      <c r="E272" t="str">
        <f>IFERROR(VLOOKUP(B272,Inventory!A:G,5,FALSE),"")</f>
        <v/>
      </c>
      <c r="F272" t="e">
        <f t="shared" si="4"/>
        <v>#VALUE!</v>
      </c>
    </row>
    <row r="273" spans="3:6" x14ac:dyDescent="0.3">
      <c r="C273" t="str">
        <f>IFERROR(VLOOKUP(B273,Inventory!A:G,2,FALSE),"")</f>
        <v/>
      </c>
      <c r="E273" t="str">
        <f>IFERROR(VLOOKUP(B273,Inventory!A:G,5,FALSE),"")</f>
        <v/>
      </c>
      <c r="F273" t="e">
        <f t="shared" si="4"/>
        <v>#VALUE!</v>
      </c>
    </row>
    <row r="274" spans="3:6" x14ac:dyDescent="0.3">
      <c r="C274" t="str">
        <f>IFERROR(VLOOKUP(B274,Inventory!A:G,2,FALSE),"")</f>
        <v/>
      </c>
      <c r="E274" t="str">
        <f>IFERROR(VLOOKUP(B274,Inventory!A:G,5,FALSE),"")</f>
        <v/>
      </c>
      <c r="F274" t="e">
        <f t="shared" si="4"/>
        <v>#VALUE!</v>
      </c>
    </row>
    <row r="275" spans="3:6" x14ac:dyDescent="0.3">
      <c r="C275" t="str">
        <f>IFERROR(VLOOKUP(B275,Inventory!A:G,2,FALSE),"")</f>
        <v/>
      </c>
      <c r="E275" t="str">
        <f>IFERROR(VLOOKUP(B275,Inventory!A:G,5,FALSE),"")</f>
        <v/>
      </c>
      <c r="F275" t="e">
        <f t="shared" si="4"/>
        <v>#VALUE!</v>
      </c>
    </row>
    <row r="276" spans="3:6" x14ac:dyDescent="0.3">
      <c r="C276" t="str">
        <f>IFERROR(VLOOKUP(B276,Inventory!A:G,2,FALSE),"")</f>
        <v/>
      </c>
      <c r="E276" t="str">
        <f>IFERROR(VLOOKUP(B276,Inventory!A:G,5,FALSE),"")</f>
        <v/>
      </c>
      <c r="F276" t="e">
        <f t="shared" si="4"/>
        <v>#VALUE!</v>
      </c>
    </row>
    <row r="277" spans="3:6" x14ac:dyDescent="0.3">
      <c r="C277" t="str">
        <f>IFERROR(VLOOKUP(B277,Inventory!A:G,2,FALSE),"")</f>
        <v/>
      </c>
      <c r="E277" t="str">
        <f>IFERROR(VLOOKUP(B277,Inventory!A:G,5,FALSE),"")</f>
        <v/>
      </c>
      <c r="F277" t="e">
        <f t="shared" si="4"/>
        <v>#VALUE!</v>
      </c>
    </row>
    <row r="278" spans="3:6" x14ac:dyDescent="0.3">
      <c r="C278" t="str">
        <f>IFERROR(VLOOKUP(B278,Inventory!A:G,2,FALSE),"")</f>
        <v/>
      </c>
      <c r="E278" t="str">
        <f>IFERROR(VLOOKUP(B278,Inventory!A:G,5,FALSE),"")</f>
        <v/>
      </c>
      <c r="F278" t="e">
        <f t="shared" si="4"/>
        <v>#VALUE!</v>
      </c>
    </row>
    <row r="279" spans="3:6" x14ac:dyDescent="0.3">
      <c r="C279" t="str">
        <f>IFERROR(VLOOKUP(B279,Inventory!A:G,2,FALSE),"")</f>
        <v/>
      </c>
      <c r="E279" t="str">
        <f>IFERROR(VLOOKUP(B279,Inventory!A:G,5,FALSE),"")</f>
        <v/>
      </c>
      <c r="F279" t="e">
        <f t="shared" si="4"/>
        <v>#VALUE!</v>
      </c>
    </row>
    <row r="280" spans="3:6" x14ac:dyDescent="0.3">
      <c r="C280" t="str">
        <f>IFERROR(VLOOKUP(B280,Inventory!A:G,2,FALSE),"")</f>
        <v/>
      </c>
      <c r="E280" t="str">
        <f>IFERROR(VLOOKUP(B280,Inventory!A:G,5,FALSE),"")</f>
        <v/>
      </c>
      <c r="F280" t="e">
        <f t="shared" si="4"/>
        <v>#VALUE!</v>
      </c>
    </row>
    <row r="281" spans="3:6" x14ac:dyDescent="0.3">
      <c r="C281" t="str">
        <f>IFERROR(VLOOKUP(B281,Inventory!A:G,2,FALSE),"")</f>
        <v/>
      </c>
      <c r="E281" t="str">
        <f>IFERROR(VLOOKUP(B281,Inventory!A:G,5,FALSE),"")</f>
        <v/>
      </c>
      <c r="F281" t="e">
        <f t="shared" si="4"/>
        <v>#VALUE!</v>
      </c>
    </row>
    <row r="282" spans="3:6" x14ac:dyDescent="0.3">
      <c r="C282" t="str">
        <f>IFERROR(VLOOKUP(B282,Inventory!A:G,2,FALSE),"")</f>
        <v/>
      </c>
      <c r="E282" t="str">
        <f>IFERROR(VLOOKUP(B282,Inventory!A:G,5,FALSE),"")</f>
        <v/>
      </c>
      <c r="F282" t="e">
        <f t="shared" si="4"/>
        <v>#VALUE!</v>
      </c>
    </row>
    <row r="283" spans="3:6" x14ac:dyDescent="0.3">
      <c r="C283" t="str">
        <f>IFERROR(VLOOKUP(B283,Inventory!A:G,2,FALSE),"")</f>
        <v/>
      </c>
      <c r="E283" t="str">
        <f>IFERROR(VLOOKUP(B283,Inventory!A:G,5,FALSE),"")</f>
        <v/>
      </c>
      <c r="F283" t="e">
        <f t="shared" si="4"/>
        <v>#VALUE!</v>
      </c>
    </row>
    <row r="284" spans="3:6" x14ac:dyDescent="0.3">
      <c r="C284" t="str">
        <f>IFERROR(VLOOKUP(B284,Inventory!A:G,2,FALSE),"")</f>
        <v/>
      </c>
      <c r="E284" t="str">
        <f>IFERROR(VLOOKUP(B284,Inventory!A:G,5,FALSE),"")</f>
        <v/>
      </c>
      <c r="F284" t="e">
        <f t="shared" si="4"/>
        <v>#VALUE!</v>
      </c>
    </row>
    <row r="285" spans="3:6" x14ac:dyDescent="0.3">
      <c r="C285" t="str">
        <f>IFERROR(VLOOKUP(B285,Inventory!A:G,2,FALSE),"")</f>
        <v/>
      </c>
      <c r="E285" t="str">
        <f>IFERROR(VLOOKUP(B285,Inventory!A:G,5,FALSE),"")</f>
        <v/>
      </c>
      <c r="F285" t="e">
        <f t="shared" si="4"/>
        <v>#VALUE!</v>
      </c>
    </row>
    <row r="286" spans="3:6" x14ac:dyDescent="0.3">
      <c r="C286" t="str">
        <f>IFERROR(VLOOKUP(B286,Inventory!A:G,2,FALSE),"")</f>
        <v/>
      </c>
      <c r="E286" t="str">
        <f>IFERROR(VLOOKUP(B286,Inventory!A:G,5,FALSE),"")</f>
        <v/>
      </c>
      <c r="F286" t="e">
        <f t="shared" si="4"/>
        <v>#VALUE!</v>
      </c>
    </row>
    <row r="287" spans="3:6" x14ac:dyDescent="0.3">
      <c r="C287" t="str">
        <f>IFERROR(VLOOKUP(B287,Inventory!A:G,2,FALSE),"")</f>
        <v/>
      </c>
      <c r="E287" t="str">
        <f>IFERROR(VLOOKUP(B287,Inventory!A:G,5,FALSE),"")</f>
        <v/>
      </c>
      <c r="F287" t="e">
        <f t="shared" si="4"/>
        <v>#VALUE!</v>
      </c>
    </row>
    <row r="288" spans="3:6" x14ac:dyDescent="0.3">
      <c r="C288" t="str">
        <f>IFERROR(VLOOKUP(B288,Inventory!A:G,2,FALSE),"")</f>
        <v/>
      </c>
      <c r="E288" t="str">
        <f>IFERROR(VLOOKUP(B288,Inventory!A:G,5,FALSE),"")</f>
        <v/>
      </c>
      <c r="F288" t="e">
        <f t="shared" si="4"/>
        <v>#VALUE!</v>
      </c>
    </row>
    <row r="289" spans="3:6" x14ac:dyDescent="0.3">
      <c r="C289" t="str">
        <f>IFERROR(VLOOKUP(B289,Inventory!A:G,2,FALSE),"")</f>
        <v/>
      </c>
      <c r="E289" t="str">
        <f>IFERROR(VLOOKUP(B289,Inventory!A:G,5,FALSE),"")</f>
        <v/>
      </c>
      <c r="F289" t="e">
        <f t="shared" si="4"/>
        <v>#VALUE!</v>
      </c>
    </row>
    <row r="290" spans="3:6" x14ac:dyDescent="0.3">
      <c r="C290" t="str">
        <f>IFERROR(VLOOKUP(B290,Inventory!A:G,2,FALSE),"")</f>
        <v/>
      </c>
      <c r="E290" t="str">
        <f>IFERROR(VLOOKUP(B290,Inventory!A:G,5,FALSE),"")</f>
        <v/>
      </c>
      <c r="F290" t="e">
        <f t="shared" si="4"/>
        <v>#VALUE!</v>
      </c>
    </row>
    <row r="291" spans="3:6" x14ac:dyDescent="0.3">
      <c r="C291" t="str">
        <f>IFERROR(VLOOKUP(B291,Inventory!A:G,2,FALSE),"")</f>
        <v/>
      </c>
      <c r="E291" t="str">
        <f>IFERROR(VLOOKUP(B291,Inventory!A:G,5,FALSE),"")</f>
        <v/>
      </c>
      <c r="F291" t="e">
        <f t="shared" si="4"/>
        <v>#VALUE!</v>
      </c>
    </row>
    <row r="292" spans="3:6" x14ac:dyDescent="0.3">
      <c r="C292" t="str">
        <f>IFERROR(VLOOKUP(B292,Inventory!A:G,2,FALSE),"")</f>
        <v/>
      </c>
      <c r="E292" t="str">
        <f>IFERROR(VLOOKUP(B292,Inventory!A:G,5,FALSE),"")</f>
        <v/>
      </c>
      <c r="F292" t="e">
        <f t="shared" si="4"/>
        <v>#VALUE!</v>
      </c>
    </row>
    <row r="293" spans="3:6" x14ac:dyDescent="0.3">
      <c r="C293" t="str">
        <f>IFERROR(VLOOKUP(B293,Inventory!A:G,2,FALSE),"")</f>
        <v/>
      </c>
      <c r="E293" t="str">
        <f>IFERROR(VLOOKUP(B293,Inventory!A:G,5,FALSE),"")</f>
        <v/>
      </c>
      <c r="F293" t="e">
        <f t="shared" si="4"/>
        <v>#VALUE!</v>
      </c>
    </row>
    <row r="294" spans="3:6" x14ac:dyDescent="0.3">
      <c r="C294" t="str">
        <f>IFERROR(VLOOKUP(B294,Inventory!A:G,2,FALSE),"")</f>
        <v/>
      </c>
      <c r="E294" t="str">
        <f>IFERROR(VLOOKUP(B294,Inventory!A:G,5,FALSE),"")</f>
        <v/>
      </c>
      <c r="F294" t="e">
        <f t="shared" si="4"/>
        <v>#VALUE!</v>
      </c>
    </row>
    <row r="295" spans="3:6" x14ac:dyDescent="0.3">
      <c r="C295" t="str">
        <f>IFERROR(VLOOKUP(B295,Inventory!A:G,2,FALSE),"")</f>
        <v/>
      </c>
      <c r="E295" t="str">
        <f>IFERROR(VLOOKUP(B295,Inventory!A:G,5,FALSE),"")</f>
        <v/>
      </c>
      <c r="F295" t="e">
        <f t="shared" si="4"/>
        <v>#VALUE!</v>
      </c>
    </row>
    <row r="296" spans="3:6" x14ac:dyDescent="0.3">
      <c r="C296" t="str">
        <f>IFERROR(VLOOKUP(B296,Inventory!A:G,2,FALSE),"")</f>
        <v/>
      </c>
      <c r="E296" t="str">
        <f>IFERROR(VLOOKUP(B296,Inventory!A:G,5,FALSE),"")</f>
        <v/>
      </c>
      <c r="F296" t="e">
        <f t="shared" si="4"/>
        <v>#VALUE!</v>
      </c>
    </row>
    <row r="297" spans="3:6" x14ac:dyDescent="0.3">
      <c r="C297" t="str">
        <f>IFERROR(VLOOKUP(B297,Inventory!A:G,2,FALSE),"")</f>
        <v/>
      </c>
      <c r="E297" t="str">
        <f>IFERROR(VLOOKUP(B297,Inventory!A:G,5,FALSE),"")</f>
        <v/>
      </c>
      <c r="F297" t="e">
        <f t="shared" si="4"/>
        <v>#VALUE!</v>
      </c>
    </row>
    <row r="298" spans="3:6" x14ac:dyDescent="0.3">
      <c r="C298" t="str">
        <f>IFERROR(VLOOKUP(B298,Inventory!A:G,2,FALSE),"")</f>
        <v/>
      </c>
      <c r="E298" t="str">
        <f>IFERROR(VLOOKUP(B298,Inventory!A:G,5,FALSE),"")</f>
        <v/>
      </c>
      <c r="F298" t="e">
        <f t="shared" si="4"/>
        <v>#VALUE!</v>
      </c>
    </row>
    <row r="299" spans="3:6" x14ac:dyDescent="0.3">
      <c r="C299" t="str">
        <f>IFERROR(VLOOKUP(B299,Inventory!A:G,2,FALSE),"")</f>
        <v/>
      </c>
      <c r="E299" t="str">
        <f>IFERROR(VLOOKUP(B299,Inventory!A:G,5,FALSE),"")</f>
        <v/>
      </c>
      <c r="F299" t="e">
        <f t="shared" si="4"/>
        <v>#VALUE!</v>
      </c>
    </row>
    <row r="300" spans="3:6" x14ac:dyDescent="0.3">
      <c r="C300" t="str">
        <f>IFERROR(VLOOKUP(B300,Inventory!A:G,2,FALSE),"")</f>
        <v/>
      </c>
      <c r="E300" t="str">
        <f>IFERROR(VLOOKUP(B300,Inventory!A:G,5,FALSE),"")</f>
        <v/>
      </c>
      <c r="F300" t="e">
        <f t="shared" si="4"/>
        <v>#VALUE!</v>
      </c>
    </row>
    <row r="301" spans="3:6" x14ac:dyDescent="0.3">
      <c r="C301" t="str">
        <f>IFERROR(VLOOKUP(B301,Inventory!A:G,2,FALSE),"")</f>
        <v/>
      </c>
      <c r="E301" t="str">
        <f>IFERROR(VLOOKUP(B301,Inventory!A:G,5,FALSE),"")</f>
        <v/>
      </c>
      <c r="F301" t="e">
        <f t="shared" si="4"/>
        <v>#VALUE!</v>
      </c>
    </row>
    <row r="302" spans="3:6" x14ac:dyDescent="0.3">
      <c r="C302" t="str">
        <f>IFERROR(VLOOKUP(B302,Inventory!A:G,2,FALSE),"")</f>
        <v/>
      </c>
      <c r="E302" t="str">
        <f>IFERROR(VLOOKUP(B302,Inventory!A:G,5,FALSE),"")</f>
        <v/>
      </c>
      <c r="F302" t="e">
        <f t="shared" si="4"/>
        <v>#VALUE!</v>
      </c>
    </row>
    <row r="303" spans="3:6" x14ac:dyDescent="0.3">
      <c r="C303" t="str">
        <f>IFERROR(VLOOKUP(B303,Inventory!A:G,2,FALSE),"")</f>
        <v/>
      </c>
      <c r="E303" t="str">
        <f>IFERROR(VLOOKUP(B303,Inventory!A:G,5,FALSE),"")</f>
        <v/>
      </c>
      <c r="F303" t="e">
        <f t="shared" si="4"/>
        <v>#VALUE!</v>
      </c>
    </row>
    <row r="304" spans="3:6" x14ac:dyDescent="0.3">
      <c r="C304" t="str">
        <f>IFERROR(VLOOKUP(B304,Inventory!A:G,2,FALSE),"")</f>
        <v/>
      </c>
      <c r="E304" t="str">
        <f>IFERROR(VLOOKUP(B304,Inventory!A:G,5,FALSE),"")</f>
        <v/>
      </c>
      <c r="F304" t="e">
        <f t="shared" si="4"/>
        <v>#VALUE!</v>
      </c>
    </row>
    <row r="305" spans="3:6" x14ac:dyDescent="0.3">
      <c r="C305" t="str">
        <f>IFERROR(VLOOKUP(B305,Inventory!A:G,2,FALSE),"")</f>
        <v/>
      </c>
      <c r="E305" t="str">
        <f>IFERROR(VLOOKUP(B305,Inventory!A:G,5,FALSE),"")</f>
        <v/>
      </c>
      <c r="F305" t="e">
        <f t="shared" si="4"/>
        <v>#VALUE!</v>
      </c>
    </row>
    <row r="306" spans="3:6" x14ac:dyDescent="0.3">
      <c r="C306" t="str">
        <f>IFERROR(VLOOKUP(B306,Inventory!A:G,2,FALSE),"")</f>
        <v/>
      </c>
      <c r="E306" t="str">
        <f>IFERROR(VLOOKUP(B306,Inventory!A:G,5,FALSE),"")</f>
        <v/>
      </c>
      <c r="F306" t="e">
        <f t="shared" si="4"/>
        <v>#VALUE!</v>
      </c>
    </row>
    <row r="307" spans="3:6" x14ac:dyDescent="0.3">
      <c r="C307" t="str">
        <f>IFERROR(VLOOKUP(B307,Inventory!A:G,2,FALSE),"")</f>
        <v/>
      </c>
      <c r="E307" t="str">
        <f>IFERROR(VLOOKUP(B307,Inventory!A:G,5,FALSE),"")</f>
        <v/>
      </c>
      <c r="F307" t="e">
        <f t="shared" si="4"/>
        <v>#VALUE!</v>
      </c>
    </row>
    <row r="308" spans="3:6" x14ac:dyDescent="0.3">
      <c r="C308" t="str">
        <f>IFERROR(VLOOKUP(B308,Inventory!A:G,2,FALSE),"")</f>
        <v/>
      </c>
      <c r="E308" t="str">
        <f>IFERROR(VLOOKUP(B308,Inventory!A:G,5,FALSE),"")</f>
        <v/>
      </c>
      <c r="F308" t="e">
        <f t="shared" si="4"/>
        <v>#VALUE!</v>
      </c>
    </row>
    <row r="309" spans="3:6" x14ac:dyDescent="0.3">
      <c r="C309" t="str">
        <f>IFERROR(VLOOKUP(B309,Inventory!A:G,2,FALSE),"")</f>
        <v/>
      </c>
      <c r="E309" t="str">
        <f>IFERROR(VLOOKUP(B309,Inventory!A:G,5,FALSE),"")</f>
        <v/>
      </c>
      <c r="F309" t="e">
        <f t="shared" si="4"/>
        <v>#VALUE!</v>
      </c>
    </row>
    <row r="310" spans="3:6" x14ac:dyDescent="0.3">
      <c r="C310" t="str">
        <f>IFERROR(VLOOKUP(B310,Inventory!A:G,2,FALSE),"")</f>
        <v/>
      </c>
      <c r="E310" t="str">
        <f>IFERROR(VLOOKUP(B310,Inventory!A:G,5,FALSE),"")</f>
        <v/>
      </c>
      <c r="F310" t="e">
        <f t="shared" si="4"/>
        <v>#VALUE!</v>
      </c>
    </row>
    <row r="311" spans="3:6" x14ac:dyDescent="0.3">
      <c r="C311" t="str">
        <f>IFERROR(VLOOKUP(B311,Inventory!A:G,2,FALSE),"")</f>
        <v/>
      </c>
      <c r="E311" t="str">
        <f>IFERROR(VLOOKUP(B311,Inventory!A:G,5,FALSE),"")</f>
        <v/>
      </c>
      <c r="F311" t="e">
        <f t="shared" si="4"/>
        <v>#VALUE!</v>
      </c>
    </row>
    <row r="312" spans="3:6" x14ac:dyDescent="0.3">
      <c r="C312" t="str">
        <f>IFERROR(VLOOKUP(B312,Inventory!A:G,2,FALSE),"")</f>
        <v/>
      </c>
      <c r="E312" t="str">
        <f>IFERROR(VLOOKUP(B312,Inventory!A:G,5,FALSE),"")</f>
        <v/>
      </c>
      <c r="F312" t="e">
        <f t="shared" si="4"/>
        <v>#VALUE!</v>
      </c>
    </row>
    <row r="313" spans="3:6" x14ac:dyDescent="0.3">
      <c r="C313" t="str">
        <f>IFERROR(VLOOKUP(B313,Inventory!A:G,2,FALSE),"")</f>
        <v/>
      </c>
      <c r="E313" t="str">
        <f>IFERROR(VLOOKUP(B313,Inventory!A:G,5,FALSE),"")</f>
        <v/>
      </c>
      <c r="F313" t="e">
        <f t="shared" si="4"/>
        <v>#VALUE!</v>
      </c>
    </row>
    <row r="314" spans="3:6" x14ac:dyDescent="0.3">
      <c r="C314" t="str">
        <f>IFERROR(VLOOKUP(B314,Inventory!A:G,2,FALSE),"")</f>
        <v/>
      </c>
      <c r="E314" t="str">
        <f>IFERROR(VLOOKUP(B314,Inventory!A:G,5,FALSE),"")</f>
        <v/>
      </c>
      <c r="F314" t="e">
        <f t="shared" si="4"/>
        <v>#VALUE!</v>
      </c>
    </row>
    <row r="315" spans="3:6" x14ac:dyDescent="0.3">
      <c r="C315" t="str">
        <f>IFERROR(VLOOKUP(B315,Inventory!A:G,2,FALSE),"")</f>
        <v/>
      </c>
      <c r="E315" t="str">
        <f>IFERROR(VLOOKUP(B315,Inventory!A:G,5,FALSE),"")</f>
        <v/>
      </c>
      <c r="F315" t="e">
        <f t="shared" si="4"/>
        <v>#VALUE!</v>
      </c>
    </row>
    <row r="316" spans="3:6" x14ac:dyDescent="0.3">
      <c r="C316" t="str">
        <f>IFERROR(VLOOKUP(B316,Inventory!A:G,2,FALSE),"")</f>
        <v/>
      </c>
      <c r="E316" t="str">
        <f>IFERROR(VLOOKUP(B316,Inventory!A:G,5,FALSE),"")</f>
        <v/>
      </c>
      <c r="F316" t="e">
        <f t="shared" si="4"/>
        <v>#VALUE!</v>
      </c>
    </row>
    <row r="317" spans="3:6" x14ac:dyDescent="0.3">
      <c r="C317" t="str">
        <f>IFERROR(VLOOKUP(B317,Inventory!A:G,2,FALSE),"")</f>
        <v/>
      </c>
      <c r="E317" t="str">
        <f>IFERROR(VLOOKUP(B317,Inventory!A:G,5,FALSE),"")</f>
        <v/>
      </c>
      <c r="F317" t="e">
        <f t="shared" si="4"/>
        <v>#VALUE!</v>
      </c>
    </row>
    <row r="318" spans="3:6" x14ac:dyDescent="0.3">
      <c r="C318" t="str">
        <f>IFERROR(VLOOKUP(B318,Inventory!A:G,2,FALSE),"")</f>
        <v/>
      </c>
      <c r="E318" t="str">
        <f>IFERROR(VLOOKUP(B318,Inventory!A:G,5,FALSE),"")</f>
        <v/>
      </c>
      <c r="F318" t="e">
        <f t="shared" si="4"/>
        <v>#VALUE!</v>
      </c>
    </row>
    <row r="319" spans="3:6" x14ac:dyDescent="0.3">
      <c r="C319" t="str">
        <f>IFERROR(VLOOKUP(B319,Inventory!A:G,2,FALSE),"")</f>
        <v/>
      </c>
      <c r="E319" t="str">
        <f>IFERROR(VLOOKUP(B319,Inventory!A:G,5,FALSE),"")</f>
        <v/>
      </c>
      <c r="F319" t="e">
        <f t="shared" si="4"/>
        <v>#VALUE!</v>
      </c>
    </row>
    <row r="320" spans="3:6" x14ac:dyDescent="0.3">
      <c r="C320" t="str">
        <f>IFERROR(VLOOKUP(B320,Inventory!A:G,2,FALSE),"")</f>
        <v/>
      </c>
      <c r="E320" t="str">
        <f>IFERROR(VLOOKUP(B320,Inventory!A:G,5,FALSE),"")</f>
        <v/>
      </c>
      <c r="F320" t="e">
        <f t="shared" si="4"/>
        <v>#VALUE!</v>
      </c>
    </row>
    <row r="321" spans="3:6" x14ac:dyDescent="0.3">
      <c r="C321" t="str">
        <f>IFERROR(VLOOKUP(B321,Inventory!A:G,2,FALSE),"")</f>
        <v/>
      </c>
      <c r="E321" t="str">
        <f>IFERROR(VLOOKUP(B321,Inventory!A:G,5,FALSE),"")</f>
        <v/>
      </c>
      <c r="F321" t="e">
        <f t="shared" si="4"/>
        <v>#VALUE!</v>
      </c>
    </row>
    <row r="322" spans="3:6" x14ac:dyDescent="0.3">
      <c r="C322" t="str">
        <f>IFERROR(VLOOKUP(B322,Inventory!A:G,2,FALSE),"")</f>
        <v/>
      </c>
      <c r="E322" t="str">
        <f>IFERROR(VLOOKUP(B322,Inventory!A:G,5,FALSE),"")</f>
        <v/>
      </c>
      <c r="F322" t="e">
        <f t="shared" ref="F322:F385" si="5">D322*E322</f>
        <v>#VALUE!</v>
      </c>
    </row>
    <row r="323" spans="3:6" x14ac:dyDescent="0.3">
      <c r="C323" t="str">
        <f>IFERROR(VLOOKUP(B323,Inventory!A:G,2,FALSE),"")</f>
        <v/>
      </c>
      <c r="E323" t="str">
        <f>IFERROR(VLOOKUP(B323,Inventory!A:G,5,FALSE),"")</f>
        <v/>
      </c>
      <c r="F323" t="e">
        <f t="shared" si="5"/>
        <v>#VALUE!</v>
      </c>
    </row>
    <row r="324" spans="3:6" x14ac:dyDescent="0.3">
      <c r="C324" t="str">
        <f>IFERROR(VLOOKUP(B324,Inventory!A:G,2,FALSE),"")</f>
        <v/>
      </c>
      <c r="E324" t="str">
        <f>IFERROR(VLOOKUP(B324,Inventory!A:G,5,FALSE),"")</f>
        <v/>
      </c>
      <c r="F324" t="e">
        <f t="shared" si="5"/>
        <v>#VALUE!</v>
      </c>
    </row>
    <row r="325" spans="3:6" x14ac:dyDescent="0.3">
      <c r="C325" t="str">
        <f>IFERROR(VLOOKUP(B325,Inventory!A:G,2,FALSE),"")</f>
        <v/>
      </c>
      <c r="E325" t="str">
        <f>IFERROR(VLOOKUP(B325,Inventory!A:G,5,FALSE),"")</f>
        <v/>
      </c>
      <c r="F325" t="e">
        <f t="shared" si="5"/>
        <v>#VALUE!</v>
      </c>
    </row>
    <row r="326" spans="3:6" x14ac:dyDescent="0.3">
      <c r="C326" t="str">
        <f>IFERROR(VLOOKUP(B326,Inventory!A:G,2,FALSE),"")</f>
        <v/>
      </c>
      <c r="E326" t="str">
        <f>IFERROR(VLOOKUP(B326,Inventory!A:G,5,FALSE),"")</f>
        <v/>
      </c>
      <c r="F326" t="e">
        <f t="shared" si="5"/>
        <v>#VALUE!</v>
      </c>
    </row>
    <row r="327" spans="3:6" x14ac:dyDescent="0.3">
      <c r="C327" t="str">
        <f>IFERROR(VLOOKUP(B327,Inventory!A:G,2,FALSE),"")</f>
        <v/>
      </c>
      <c r="E327" t="str">
        <f>IFERROR(VLOOKUP(B327,Inventory!A:G,5,FALSE),"")</f>
        <v/>
      </c>
      <c r="F327" t="e">
        <f t="shared" si="5"/>
        <v>#VALUE!</v>
      </c>
    </row>
    <row r="328" spans="3:6" x14ac:dyDescent="0.3">
      <c r="C328" t="str">
        <f>IFERROR(VLOOKUP(B328,Inventory!A:G,2,FALSE),"")</f>
        <v/>
      </c>
      <c r="E328" t="str">
        <f>IFERROR(VLOOKUP(B328,Inventory!A:G,5,FALSE),"")</f>
        <v/>
      </c>
      <c r="F328" t="e">
        <f t="shared" si="5"/>
        <v>#VALUE!</v>
      </c>
    </row>
    <row r="329" spans="3:6" x14ac:dyDescent="0.3">
      <c r="C329" t="str">
        <f>IFERROR(VLOOKUP(B329,Inventory!A:G,2,FALSE),"")</f>
        <v/>
      </c>
      <c r="E329" t="str">
        <f>IFERROR(VLOOKUP(B329,Inventory!A:G,5,FALSE),"")</f>
        <v/>
      </c>
      <c r="F329" t="e">
        <f t="shared" si="5"/>
        <v>#VALUE!</v>
      </c>
    </row>
    <row r="330" spans="3:6" x14ac:dyDescent="0.3">
      <c r="C330" t="str">
        <f>IFERROR(VLOOKUP(B330,Inventory!A:G,2,FALSE),"")</f>
        <v/>
      </c>
      <c r="E330" t="str">
        <f>IFERROR(VLOOKUP(B330,Inventory!A:G,5,FALSE),"")</f>
        <v/>
      </c>
      <c r="F330" t="e">
        <f t="shared" si="5"/>
        <v>#VALUE!</v>
      </c>
    </row>
    <row r="331" spans="3:6" x14ac:dyDescent="0.3">
      <c r="C331" t="str">
        <f>IFERROR(VLOOKUP(B331,Inventory!A:G,2,FALSE),"")</f>
        <v/>
      </c>
      <c r="E331" t="str">
        <f>IFERROR(VLOOKUP(B331,Inventory!A:G,5,FALSE),"")</f>
        <v/>
      </c>
      <c r="F331" t="e">
        <f t="shared" si="5"/>
        <v>#VALUE!</v>
      </c>
    </row>
    <row r="332" spans="3:6" x14ac:dyDescent="0.3">
      <c r="C332" t="str">
        <f>IFERROR(VLOOKUP(B332,Inventory!A:G,2,FALSE),"")</f>
        <v/>
      </c>
      <c r="E332" t="str">
        <f>IFERROR(VLOOKUP(B332,Inventory!A:G,5,FALSE),"")</f>
        <v/>
      </c>
      <c r="F332" t="e">
        <f t="shared" si="5"/>
        <v>#VALUE!</v>
      </c>
    </row>
    <row r="333" spans="3:6" x14ac:dyDescent="0.3">
      <c r="C333" t="str">
        <f>IFERROR(VLOOKUP(B333,Inventory!A:G,2,FALSE),"")</f>
        <v/>
      </c>
      <c r="E333" t="str">
        <f>IFERROR(VLOOKUP(B333,Inventory!A:G,5,FALSE),"")</f>
        <v/>
      </c>
      <c r="F333" t="e">
        <f t="shared" si="5"/>
        <v>#VALUE!</v>
      </c>
    </row>
    <row r="334" spans="3:6" x14ac:dyDescent="0.3">
      <c r="C334" t="str">
        <f>IFERROR(VLOOKUP(B334,Inventory!A:G,2,FALSE),"")</f>
        <v/>
      </c>
      <c r="E334" t="str">
        <f>IFERROR(VLOOKUP(B334,Inventory!A:G,5,FALSE),"")</f>
        <v/>
      </c>
      <c r="F334" t="e">
        <f t="shared" si="5"/>
        <v>#VALUE!</v>
      </c>
    </row>
    <row r="335" spans="3:6" x14ac:dyDescent="0.3">
      <c r="C335" t="str">
        <f>IFERROR(VLOOKUP(B335,Inventory!A:G,2,FALSE),"")</f>
        <v/>
      </c>
      <c r="E335" t="str">
        <f>IFERROR(VLOOKUP(B335,Inventory!A:G,5,FALSE),"")</f>
        <v/>
      </c>
      <c r="F335" t="e">
        <f t="shared" si="5"/>
        <v>#VALUE!</v>
      </c>
    </row>
    <row r="336" spans="3:6" x14ac:dyDescent="0.3">
      <c r="C336" t="str">
        <f>IFERROR(VLOOKUP(B336,Inventory!A:G,2,FALSE),"")</f>
        <v/>
      </c>
      <c r="E336" t="str">
        <f>IFERROR(VLOOKUP(B336,Inventory!A:G,5,FALSE),"")</f>
        <v/>
      </c>
      <c r="F336" t="e">
        <f t="shared" si="5"/>
        <v>#VALUE!</v>
      </c>
    </row>
    <row r="337" spans="3:6" x14ac:dyDescent="0.3">
      <c r="C337" t="str">
        <f>IFERROR(VLOOKUP(B337,Inventory!A:G,2,FALSE),"")</f>
        <v/>
      </c>
      <c r="E337" t="str">
        <f>IFERROR(VLOOKUP(B337,Inventory!A:G,5,FALSE),"")</f>
        <v/>
      </c>
      <c r="F337" t="e">
        <f t="shared" si="5"/>
        <v>#VALUE!</v>
      </c>
    </row>
    <row r="338" spans="3:6" x14ac:dyDescent="0.3">
      <c r="C338" t="str">
        <f>IFERROR(VLOOKUP(B338,Inventory!A:G,2,FALSE),"")</f>
        <v/>
      </c>
      <c r="E338" t="str">
        <f>IFERROR(VLOOKUP(B338,Inventory!A:G,5,FALSE),"")</f>
        <v/>
      </c>
      <c r="F338" t="e">
        <f t="shared" si="5"/>
        <v>#VALUE!</v>
      </c>
    </row>
    <row r="339" spans="3:6" x14ac:dyDescent="0.3">
      <c r="C339" t="str">
        <f>IFERROR(VLOOKUP(B339,Inventory!A:G,2,FALSE),"")</f>
        <v/>
      </c>
      <c r="E339" t="str">
        <f>IFERROR(VLOOKUP(B339,Inventory!A:G,5,FALSE),"")</f>
        <v/>
      </c>
      <c r="F339" t="e">
        <f t="shared" si="5"/>
        <v>#VALUE!</v>
      </c>
    </row>
    <row r="340" spans="3:6" x14ac:dyDescent="0.3">
      <c r="C340" t="str">
        <f>IFERROR(VLOOKUP(B340,Inventory!A:G,2,FALSE),"")</f>
        <v/>
      </c>
      <c r="E340" t="str">
        <f>IFERROR(VLOOKUP(B340,Inventory!A:G,5,FALSE),"")</f>
        <v/>
      </c>
      <c r="F340" t="e">
        <f t="shared" si="5"/>
        <v>#VALUE!</v>
      </c>
    </row>
    <row r="341" spans="3:6" x14ac:dyDescent="0.3">
      <c r="C341" t="str">
        <f>IFERROR(VLOOKUP(B341,Inventory!A:G,2,FALSE),"")</f>
        <v/>
      </c>
      <c r="E341" t="str">
        <f>IFERROR(VLOOKUP(B341,Inventory!A:G,5,FALSE),"")</f>
        <v/>
      </c>
      <c r="F341" t="e">
        <f t="shared" si="5"/>
        <v>#VALUE!</v>
      </c>
    </row>
    <row r="342" spans="3:6" x14ac:dyDescent="0.3">
      <c r="C342" t="str">
        <f>IFERROR(VLOOKUP(B342,Inventory!A:G,2,FALSE),"")</f>
        <v/>
      </c>
      <c r="E342" t="str">
        <f>IFERROR(VLOOKUP(B342,Inventory!A:G,5,FALSE),"")</f>
        <v/>
      </c>
      <c r="F342" t="e">
        <f t="shared" si="5"/>
        <v>#VALUE!</v>
      </c>
    </row>
    <row r="343" spans="3:6" x14ac:dyDescent="0.3">
      <c r="C343" t="str">
        <f>IFERROR(VLOOKUP(B343,Inventory!A:G,2,FALSE),"")</f>
        <v/>
      </c>
      <c r="E343" t="str">
        <f>IFERROR(VLOOKUP(B343,Inventory!A:G,5,FALSE),"")</f>
        <v/>
      </c>
      <c r="F343" t="e">
        <f t="shared" si="5"/>
        <v>#VALUE!</v>
      </c>
    </row>
    <row r="344" spans="3:6" x14ac:dyDescent="0.3">
      <c r="C344" t="str">
        <f>IFERROR(VLOOKUP(B344,Inventory!A:G,2,FALSE),"")</f>
        <v/>
      </c>
      <c r="E344" t="str">
        <f>IFERROR(VLOOKUP(B344,Inventory!A:G,5,FALSE),"")</f>
        <v/>
      </c>
      <c r="F344" t="e">
        <f t="shared" si="5"/>
        <v>#VALUE!</v>
      </c>
    </row>
    <row r="345" spans="3:6" x14ac:dyDescent="0.3">
      <c r="C345" t="str">
        <f>IFERROR(VLOOKUP(B345,Inventory!A:G,2,FALSE),"")</f>
        <v/>
      </c>
      <c r="E345" t="str">
        <f>IFERROR(VLOOKUP(B345,Inventory!A:G,5,FALSE),"")</f>
        <v/>
      </c>
      <c r="F345" t="e">
        <f t="shared" si="5"/>
        <v>#VALUE!</v>
      </c>
    </row>
    <row r="346" spans="3:6" x14ac:dyDescent="0.3">
      <c r="C346" t="str">
        <f>IFERROR(VLOOKUP(B346,Inventory!A:G,2,FALSE),"")</f>
        <v/>
      </c>
      <c r="E346" t="str">
        <f>IFERROR(VLOOKUP(B346,Inventory!A:G,5,FALSE),"")</f>
        <v/>
      </c>
      <c r="F346" t="e">
        <f t="shared" si="5"/>
        <v>#VALUE!</v>
      </c>
    </row>
    <row r="347" spans="3:6" x14ac:dyDescent="0.3">
      <c r="C347" t="str">
        <f>IFERROR(VLOOKUP(B347,Inventory!A:G,2,FALSE),"")</f>
        <v/>
      </c>
      <c r="E347" t="str">
        <f>IFERROR(VLOOKUP(B347,Inventory!A:G,5,FALSE),"")</f>
        <v/>
      </c>
      <c r="F347" t="e">
        <f t="shared" si="5"/>
        <v>#VALUE!</v>
      </c>
    </row>
    <row r="348" spans="3:6" x14ac:dyDescent="0.3">
      <c r="C348" t="str">
        <f>IFERROR(VLOOKUP(B348,Inventory!A:G,2,FALSE),"")</f>
        <v/>
      </c>
      <c r="E348" t="str">
        <f>IFERROR(VLOOKUP(B348,Inventory!A:G,5,FALSE),"")</f>
        <v/>
      </c>
      <c r="F348" t="e">
        <f t="shared" si="5"/>
        <v>#VALUE!</v>
      </c>
    </row>
    <row r="349" spans="3:6" x14ac:dyDescent="0.3">
      <c r="C349" t="str">
        <f>IFERROR(VLOOKUP(B349,Inventory!A:G,2,FALSE),"")</f>
        <v/>
      </c>
      <c r="E349" t="str">
        <f>IFERROR(VLOOKUP(B349,Inventory!A:G,5,FALSE),"")</f>
        <v/>
      </c>
      <c r="F349" t="e">
        <f t="shared" si="5"/>
        <v>#VALUE!</v>
      </c>
    </row>
    <row r="350" spans="3:6" x14ac:dyDescent="0.3">
      <c r="C350" t="str">
        <f>IFERROR(VLOOKUP(B350,Inventory!A:G,2,FALSE),"")</f>
        <v/>
      </c>
      <c r="E350" t="str">
        <f>IFERROR(VLOOKUP(B350,Inventory!A:G,5,FALSE),"")</f>
        <v/>
      </c>
      <c r="F350" t="e">
        <f t="shared" si="5"/>
        <v>#VALUE!</v>
      </c>
    </row>
    <row r="351" spans="3:6" x14ac:dyDescent="0.3">
      <c r="C351" t="str">
        <f>IFERROR(VLOOKUP(B351,Inventory!A:G,2,FALSE),"")</f>
        <v/>
      </c>
      <c r="E351" t="str">
        <f>IFERROR(VLOOKUP(B351,Inventory!A:G,5,FALSE),"")</f>
        <v/>
      </c>
      <c r="F351" t="e">
        <f t="shared" si="5"/>
        <v>#VALUE!</v>
      </c>
    </row>
    <row r="352" spans="3:6" x14ac:dyDescent="0.3">
      <c r="C352" t="str">
        <f>IFERROR(VLOOKUP(B352,Inventory!A:G,2,FALSE),"")</f>
        <v/>
      </c>
      <c r="E352" t="str">
        <f>IFERROR(VLOOKUP(B352,Inventory!A:G,5,FALSE),"")</f>
        <v/>
      </c>
      <c r="F352" t="e">
        <f t="shared" si="5"/>
        <v>#VALUE!</v>
      </c>
    </row>
    <row r="353" spans="3:6" x14ac:dyDescent="0.3">
      <c r="C353" t="str">
        <f>IFERROR(VLOOKUP(B353,Inventory!A:G,2,FALSE),"")</f>
        <v/>
      </c>
      <c r="E353" t="str">
        <f>IFERROR(VLOOKUP(B353,Inventory!A:G,5,FALSE),"")</f>
        <v/>
      </c>
      <c r="F353" t="e">
        <f t="shared" si="5"/>
        <v>#VALUE!</v>
      </c>
    </row>
    <row r="354" spans="3:6" x14ac:dyDescent="0.3">
      <c r="C354" t="str">
        <f>IFERROR(VLOOKUP(B354,Inventory!A:G,2,FALSE),"")</f>
        <v/>
      </c>
      <c r="E354" t="str">
        <f>IFERROR(VLOOKUP(B354,Inventory!A:G,5,FALSE),"")</f>
        <v/>
      </c>
      <c r="F354" t="e">
        <f t="shared" si="5"/>
        <v>#VALUE!</v>
      </c>
    </row>
    <row r="355" spans="3:6" x14ac:dyDescent="0.3">
      <c r="C355" t="str">
        <f>IFERROR(VLOOKUP(B355,Inventory!A:G,2,FALSE),"")</f>
        <v/>
      </c>
      <c r="E355" t="str">
        <f>IFERROR(VLOOKUP(B355,Inventory!A:G,5,FALSE),"")</f>
        <v/>
      </c>
      <c r="F355" t="e">
        <f t="shared" si="5"/>
        <v>#VALUE!</v>
      </c>
    </row>
    <row r="356" spans="3:6" x14ac:dyDescent="0.3">
      <c r="C356" t="str">
        <f>IFERROR(VLOOKUP(B356,Inventory!A:G,2,FALSE),"")</f>
        <v/>
      </c>
      <c r="E356" t="str">
        <f>IFERROR(VLOOKUP(B356,Inventory!A:G,5,FALSE),"")</f>
        <v/>
      </c>
      <c r="F356" t="e">
        <f t="shared" si="5"/>
        <v>#VALUE!</v>
      </c>
    </row>
    <row r="357" spans="3:6" x14ac:dyDescent="0.3">
      <c r="C357" t="str">
        <f>IFERROR(VLOOKUP(B357,Inventory!A:G,2,FALSE),"")</f>
        <v/>
      </c>
      <c r="E357" t="str">
        <f>IFERROR(VLOOKUP(B357,Inventory!A:G,5,FALSE),"")</f>
        <v/>
      </c>
      <c r="F357" t="e">
        <f t="shared" si="5"/>
        <v>#VALUE!</v>
      </c>
    </row>
    <row r="358" spans="3:6" x14ac:dyDescent="0.3">
      <c r="C358" t="str">
        <f>IFERROR(VLOOKUP(B358,Inventory!A:G,2,FALSE),"")</f>
        <v/>
      </c>
      <c r="E358" t="str">
        <f>IFERROR(VLOOKUP(B358,Inventory!A:G,5,FALSE),"")</f>
        <v/>
      </c>
      <c r="F358" t="e">
        <f t="shared" si="5"/>
        <v>#VALUE!</v>
      </c>
    </row>
    <row r="359" spans="3:6" x14ac:dyDescent="0.3">
      <c r="C359" t="str">
        <f>IFERROR(VLOOKUP(B359,Inventory!A:G,2,FALSE),"")</f>
        <v/>
      </c>
      <c r="E359" t="str">
        <f>IFERROR(VLOOKUP(B359,Inventory!A:G,5,FALSE),"")</f>
        <v/>
      </c>
      <c r="F359" t="e">
        <f t="shared" si="5"/>
        <v>#VALUE!</v>
      </c>
    </row>
    <row r="360" spans="3:6" x14ac:dyDescent="0.3">
      <c r="C360" t="str">
        <f>IFERROR(VLOOKUP(B360,Inventory!A:G,2,FALSE),"")</f>
        <v/>
      </c>
      <c r="E360" t="str">
        <f>IFERROR(VLOOKUP(B360,Inventory!A:G,5,FALSE),"")</f>
        <v/>
      </c>
      <c r="F360" t="e">
        <f t="shared" si="5"/>
        <v>#VALUE!</v>
      </c>
    </row>
    <row r="361" spans="3:6" x14ac:dyDescent="0.3">
      <c r="C361" t="str">
        <f>IFERROR(VLOOKUP(B361,Inventory!A:G,2,FALSE),"")</f>
        <v/>
      </c>
      <c r="E361" t="str">
        <f>IFERROR(VLOOKUP(B361,Inventory!A:G,5,FALSE),"")</f>
        <v/>
      </c>
      <c r="F361" t="e">
        <f t="shared" si="5"/>
        <v>#VALUE!</v>
      </c>
    </row>
    <row r="362" spans="3:6" x14ac:dyDescent="0.3">
      <c r="C362" t="str">
        <f>IFERROR(VLOOKUP(B362,Inventory!A:G,2,FALSE),"")</f>
        <v/>
      </c>
      <c r="E362" t="str">
        <f>IFERROR(VLOOKUP(B362,Inventory!A:G,5,FALSE),"")</f>
        <v/>
      </c>
      <c r="F362" t="e">
        <f t="shared" si="5"/>
        <v>#VALUE!</v>
      </c>
    </row>
    <row r="363" spans="3:6" x14ac:dyDescent="0.3">
      <c r="C363" t="str">
        <f>IFERROR(VLOOKUP(B363,Inventory!A:G,2,FALSE),"")</f>
        <v/>
      </c>
      <c r="E363" t="str">
        <f>IFERROR(VLOOKUP(B363,Inventory!A:G,5,FALSE),"")</f>
        <v/>
      </c>
      <c r="F363" t="e">
        <f t="shared" si="5"/>
        <v>#VALUE!</v>
      </c>
    </row>
    <row r="364" spans="3:6" x14ac:dyDescent="0.3">
      <c r="C364" t="str">
        <f>IFERROR(VLOOKUP(B364,Inventory!A:G,2,FALSE),"")</f>
        <v/>
      </c>
      <c r="E364" t="str">
        <f>IFERROR(VLOOKUP(B364,Inventory!A:G,5,FALSE),"")</f>
        <v/>
      </c>
      <c r="F364" t="e">
        <f t="shared" si="5"/>
        <v>#VALUE!</v>
      </c>
    </row>
    <row r="365" spans="3:6" x14ac:dyDescent="0.3">
      <c r="C365" t="str">
        <f>IFERROR(VLOOKUP(B365,Inventory!A:G,2,FALSE),"")</f>
        <v/>
      </c>
      <c r="E365" t="str">
        <f>IFERROR(VLOOKUP(B365,Inventory!A:G,5,FALSE),"")</f>
        <v/>
      </c>
      <c r="F365" t="e">
        <f t="shared" si="5"/>
        <v>#VALUE!</v>
      </c>
    </row>
    <row r="366" spans="3:6" x14ac:dyDescent="0.3">
      <c r="C366" t="str">
        <f>IFERROR(VLOOKUP(B366,Inventory!A:G,2,FALSE),"")</f>
        <v/>
      </c>
      <c r="E366" t="str">
        <f>IFERROR(VLOOKUP(B366,Inventory!A:G,5,FALSE),"")</f>
        <v/>
      </c>
      <c r="F366" t="e">
        <f t="shared" si="5"/>
        <v>#VALUE!</v>
      </c>
    </row>
    <row r="367" spans="3:6" x14ac:dyDescent="0.3">
      <c r="C367" t="str">
        <f>IFERROR(VLOOKUP(B367,Inventory!A:G,2,FALSE),"")</f>
        <v/>
      </c>
      <c r="E367" t="str">
        <f>IFERROR(VLOOKUP(B367,Inventory!A:G,5,FALSE),"")</f>
        <v/>
      </c>
      <c r="F367" t="e">
        <f t="shared" si="5"/>
        <v>#VALUE!</v>
      </c>
    </row>
    <row r="368" spans="3:6" x14ac:dyDescent="0.3">
      <c r="C368" t="str">
        <f>IFERROR(VLOOKUP(B368,Inventory!A:G,2,FALSE),"")</f>
        <v/>
      </c>
      <c r="E368" t="str">
        <f>IFERROR(VLOOKUP(B368,Inventory!A:G,5,FALSE),"")</f>
        <v/>
      </c>
      <c r="F368" t="e">
        <f t="shared" si="5"/>
        <v>#VALUE!</v>
      </c>
    </row>
    <row r="369" spans="3:6" x14ac:dyDescent="0.3">
      <c r="C369" t="str">
        <f>IFERROR(VLOOKUP(B369,Inventory!A:G,2,FALSE),"")</f>
        <v/>
      </c>
      <c r="E369" t="str">
        <f>IFERROR(VLOOKUP(B369,Inventory!A:G,5,FALSE),"")</f>
        <v/>
      </c>
      <c r="F369" t="e">
        <f t="shared" si="5"/>
        <v>#VALUE!</v>
      </c>
    </row>
    <row r="370" spans="3:6" x14ac:dyDescent="0.3">
      <c r="C370" t="str">
        <f>IFERROR(VLOOKUP(B370,Inventory!A:G,2,FALSE),"")</f>
        <v/>
      </c>
      <c r="E370" t="str">
        <f>IFERROR(VLOOKUP(B370,Inventory!A:G,5,FALSE),"")</f>
        <v/>
      </c>
      <c r="F370" t="e">
        <f t="shared" si="5"/>
        <v>#VALUE!</v>
      </c>
    </row>
    <row r="371" spans="3:6" x14ac:dyDescent="0.3">
      <c r="C371" t="str">
        <f>IFERROR(VLOOKUP(B371,Inventory!A:G,2,FALSE),"")</f>
        <v/>
      </c>
      <c r="E371" t="str">
        <f>IFERROR(VLOOKUP(B371,Inventory!A:G,5,FALSE),"")</f>
        <v/>
      </c>
      <c r="F371" t="e">
        <f t="shared" si="5"/>
        <v>#VALUE!</v>
      </c>
    </row>
    <row r="372" spans="3:6" x14ac:dyDescent="0.3">
      <c r="C372" t="str">
        <f>IFERROR(VLOOKUP(B372,Inventory!A:G,2,FALSE),"")</f>
        <v/>
      </c>
      <c r="E372" t="str">
        <f>IFERROR(VLOOKUP(B372,Inventory!A:G,5,FALSE),"")</f>
        <v/>
      </c>
      <c r="F372" t="e">
        <f t="shared" si="5"/>
        <v>#VALUE!</v>
      </c>
    </row>
    <row r="373" spans="3:6" x14ac:dyDescent="0.3">
      <c r="C373" t="str">
        <f>IFERROR(VLOOKUP(B373,Inventory!A:G,2,FALSE),"")</f>
        <v/>
      </c>
      <c r="E373" t="str">
        <f>IFERROR(VLOOKUP(B373,Inventory!A:G,5,FALSE),"")</f>
        <v/>
      </c>
      <c r="F373" t="e">
        <f t="shared" si="5"/>
        <v>#VALUE!</v>
      </c>
    </row>
    <row r="374" spans="3:6" x14ac:dyDescent="0.3">
      <c r="C374" t="str">
        <f>IFERROR(VLOOKUP(B374,Inventory!A:G,2,FALSE),"")</f>
        <v/>
      </c>
      <c r="E374" t="str">
        <f>IFERROR(VLOOKUP(B374,Inventory!A:G,5,FALSE),"")</f>
        <v/>
      </c>
      <c r="F374" t="e">
        <f t="shared" si="5"/>
        <v>#VALUE!</v>
      </c>
    </row>
    <row r="375" spans="3:6" x14ac:dyDescent="0.3">
      <c r="C375" t="str">
        <f>IFERROR(VLOOKUP(B375,Inventory!A:G,2,FALSE),"")</f>
        <v/>
      </c>
      <c r="E375" t="str">
        <f>IFERROR(VLOOKUP(B375,Inventory!A:G,5,FALSE),"")</f>
        <v/>
      </c>
      <c r="F375" t="e">
        <f t="shared" si="5"/>
        <v>#VALUE!</v>
      </c>
    </row>
    <row r="376" spans="3:6" x14ac:dyDescent="0.3">
      <c r="C376" t="str">
        <f>IFERROR(VLOOKUP(B376,Inventory!A:G,2,FALSE),"")</f>
        <v/>
      </c>
      <c r="E376" t="str">
        <f>IFERROR(VLOOKUP(B376,Inventory!A:G,5,FALSE),"")</f>
        <v/>
      </c>
      <c r="F376" t="e">
        <f t="shared" si="5"/>
        <v>#VALUE!</v>
      </c>
    </row>
    <row r="377" spans="3:6" x14ac:dyDescent="0.3">
      <c r="C377" t="str">
        <f>IFERROR(VLOOKUP(B377,Inventory!A:G,2,FALSE),"")</f>
        <v/>
      </c>
      <c r="E377" t="str">
        <f>IFERROR(VLOOKUP(B377,Inventory!A:G,5,FALSE),"")</f>
        <v/>
      </c>
      <c r="F377" t="e">
        <f t="shared" si="5"/>
        <v>#VALUE!</v>
      </c>
    </row>
    <row r="378" spans="3:6" x14ac:dyDescent="0.3">
      <c r="C378" t="str">
        <f>IFERROR(VLOOKUP(B378,Inventory!A:G,2,FALSE),"")</f>
        <v/>
      </c>
      <c r="E378" t="str">
        <f>IFERROR(VLOOKUP(B378,Inventory!A:G,5,FALSE),"")</f>
        <v/>
      </c>
      <c r="F378" t="e">
        <f t="shared" si="5"/>
        <v>#VALUE!</v>
      </c>
    </row>
    <row r="379" spans="3:6" x14ac:dyDescent="0.3">
      <c r="C379" t="str">
        <f>IFERROR(VLOOKUP(B379,Inventory!A:G,2,FALSE),"")</f>
        <v/>
      </c>
      <c r="E379" t="str">
        <f>IFERROR(VLOOKUP(B379,Inventory!A:G,5,FALSE),"")</f>
        <v/>
      </c>
      <c r="F379" t="e">
        <f t="shared" si="5"/>
        <v>#VALUE!</v>
      </c>
    </row>
    <row r="380" spans="3:6" x14ac:dyDescent="0.3">
      <c r="C380" t="str">
        <f>IFERROR(VLOOKUP(B380,Inventory!A:G,2,FALSE),"")</f>
        <v/>
      </c>
      <c r="E380" t="str">
        <f>IFERROR(VLOOKUP(B380,Inventory!A:G,5,FALSE),"")</f>
        <v/>
      </c>
      <c r="F380" t="e">
        <f t="shared" si="5"/>
        <v>#VALUE!</v>
      </c>
    </row>
    <row r="381" spans="3:6" x14ac:dyDescent="0.3">
      <c r="C381" t="str">
        <f>IFERROR(VLOOKUP(B381,Inventory!A:G,2,FALSE),"")</f>
        <v/>
      </c>
      <c r="E381" t="str">
        <f>IFERROR(VLOOKUP(B381,Inventory!A:G,5,FALSE),"")</f>
        <v/>
      </c>
      <c r="F381" t="e">
        <f t="shared" si="5"/>
        <v>#VALUE!</v>
      </c>
    </row>
    <row r="382" spans="3:6" x14ac:dyDescent="0.3">
      <c r="C382" t="str">
        <f>IFERROR(VLOOKUP(B382,Inventory!A:G,2,FALSE),"")</f>
        <v/>
      </c>
      <c r="E382" t="str">
        <f>IFERROR(VLOOKUP(B382,Inventory!A:G,5,FALSE),"")</f>
        <v/>
      </c>
      <c r="F382" t="e">
        <f t="shared" si="5"/>
        <v>#VALUE!</v>
      </c>
    </row>
    <row r="383" spans="3:6" x14ac:dyDescent="0.3">
      <c r="C383" t="str">
        <f>IFERROR(VLOOKUP(B383,Inventory!A:G,2,FALSE),"")</f>
        <v/>
      </c>
      <c r="E383" t="str">
        <f>IFERROR(VLOOKUP(B383,Inventory!A:G,5,FALSE),"")</f>
        <v/>
      </c>
      <c r="F383" t="e">
        <f t="shared" si="5"/>
        <v>#VALUE!</v>
      </c>
    </row>
    <row r="384" spans="3:6" x14ac:dyDescent="0.3">
      <c r="C384" t="str">
        <f>IFERROR(VLOOKUP(B384,Inventory!A:G,2,FALSE),"")</f>
        <v/>
      </c>
      <c r="E384" t="str">
        <f>IFERROR(VLOOKUP(B384,Inventory!A:G,5,FALSE),"")</f>
        <v/>
      </c>
      <c r="F384" t="e">
        <f t="shared" si="5"/>
        <v>#VALUE!</v>
      </c>
    </row>
    <row r="385" spans="3:6" x14ac:dyDescent="0.3">
      <c r="C385" t="str">
        <f>IFERROR(VLOOKUP(B385,Inventory!A:G,2,FALSE),"")</f>
        <v/>
      </c>
      <c r="E385" t="str">
        <f>IFERROR(VLOOKUP(B385,Inventory!A:G,5,FALSE),"")</f>
        <v/>
      </c>
      <c r="F385" t="e">
        <f t="shared" si="5"/>
        <v>#VALUE!</v>
      </c>
    </row>
    <row r="386" spans="3:6" x14ac:dyDescent="0.3">
      <c r="C386" t="str">
        <f>IFERROR(VLOOKUP(B386,Inventory!A:G,2,FALSE),"")</f>
        <v/>
      </c>
      <c r="E386" t="str">
        <f>IFERROR(VLOOKUP(B386,Inventory!A:G,5,FALSE),"")</f>
        <v/>
      </c>
      <c r="F386" t="e">
        <f t="shared" ref="F386:F449" si="6">D386*E386</f>
        <v>#VALUE!</v>
      </c>
    </row>
    <row r="387" spans="3:6" x14ac:dyDescent="0.3">
      <c r="C387" t="str">
        <f>IFERROR(VLOOKUP(B387,Inventory!A:G,2,FALSE),"")</f>
        <v/>
      </c>
      <c r="E387" t="str">
        <f>IFERROR(VLOOKUP(B387,Inventory!A:G,5,FALSE),"")</f>
        <v/>
      </c>
      <c r="F387" t="e">
        <f t="shared" si="6"/>
        <v>#VALUE!</v>
      </c>
    </row>
    <row r="388" spans="3:6" x14ac:dyDescent="0.3">
      <c r="C388" t="str">
        <f>IFERROR(VLOOKUP(B388,Inventory!A:G,2,FALSE),"")</f>
        <v/>
      </c>
      <c r="E388" t="str">
        <f>IFERROR(VLOOKUP(B388,Inventory!A:G,5,FALSE),"")</f>
        <v/>
      </c>
      <c r="F388" t="e">
        <f t="shared" si="6"/>
        <v>#VALUE!</v>
      </c>
    </row>
    <row r="389" spans="3:6" x14ac:dyDescent="0.3">
      <c r="C389" t="str">
        <f>IFERROR(VLOOKUP(B389,Inventory!A:G,2,FALSE),"")</f>
        <v/>
      </c>
      <c r="E389" t="str">
        <f>IFERROR(VLOOKUP(B389,Inventory!A:G,5,FALSE),"")</f>
        <v/>
      </c>
      <c r="F389" t="e">
        <f t="shared" si="6"/>
        <v>#VALUE!</v>
      </c>
    </row>
    <row r="390" spans="3:6" x14ac:dyDescent="0.3">
      <c r="C390" t="str">
        <f>IFERROR(VLOOKUP(B390,Inventory!A:G,2,FALSE),"")</f>
        <v/>
      </c>
      <c r="E390" t="str">
        <f>IFERROR(VLOOKUP(B390,Inventory!A:G,5,FALSE),"")</f>
        <v/>
      </c>
      <c r="F390" t="e">
        <f t="shared" si="6"/>
        <v>#VALUE!</v>
      </c>
    </row>
    <row r="391" spans="3:6" x14ac:dyDescent="0.3">
      <c r="C391" t="str">
        <f>IFERROR(VLOOKUP(B391,Inventory!A:G,2,FALSE),"")</f>
        <v/>
      </c>
      <c r="E391" t="str">
        <f>IFERROR(VLOOKUP(B391,Inventory!A:G,5,FALSE),"")</f>
        <v/>
      </c>
      <c r="F391" t="e">
        <f t="shared" si="6"/>
        <v>#VALUE!</v>
      </c>
    </row>
    <row r="392" spans="3:6" x14ac:dyDescent="0.3">
      <c r="C392" t="str">
        <f>IFERROR(VLOOKUP(B392,Inventory!A:G,2,FALSE),"")</f>
        <v/>
      </c>
      <c r="E392" t="str">
        <f>IFERROR(VLOOKUP(B392,Inventory!A:G,5,FALSE),"")</f>
        <v/>
      </c>
      <c r="F392" t="e">
        <f t="shared" si="6"/>
        <v>#VALUE!</v>
      </c>
    </row>
    <row r="393" spans="3:6" x14ac:dyDescent="0.3">
      <c r="C393" t="str">
        <f>IFERROR(VLOOKUP(B393,Inventory!A:G,2,FALSE),"")</f>
        <v/>
      </c>
      <c r="E393" t="str">
        <f>IFERROR(VLOOKUP(B393,Inventory!A:G,5,FALSE),"")</f>
        <v/>
      </c>
      <c r="F393" t="e">
        <f t="shared" si="6"/>
        <v>#VALUE!</v>
      </c>
    </row>
    <row r="394" spans="3:6" x14ac:dyDescent="0.3">
      <c r="C394" t="str">
        <f>IFERROR(VLOOKUP(B394,Inventory!A:G,2,FALSE),"")</f>
        <v/>
      </c>
      <c r="E394" t="str">
        <f>IFERROR(VLOOKUP(B394,Inventory!A:G,5,FALSE),"")</f>
        <v/>
      </c>
      <c r="F394" t="e">
        <f t="shared" si="6"/>
        <v>#VALUE!</v>
      </c>
    </row>
    <row r="395" spans="3:6" x14ac:dyDescent="0.3">
      <c r="C395" t="str">
        <f>IFERROR(VLOOKUP(B395,Inventory!A:G,2,FALSE),"")</f>
        <v/>
      </c>
      <c r="E395" t="str">
        <f>IFERROR(VLOOKUP(B395,Inventory!A:G,5,FALSE),"")</f>
        <v/>
      </c>
      <c r="F395" t="e">
        <f t="shared" si="6"/>
        <v>#VALUE!</v>
      </c>
    </row>
    <row r="396" spans="3:6" x14ac:dyDescent="0.3">
      <c r="C396" t="str">
        <f>IFERROR(VLOOKUP(B396,Inventory!A:G,2,FALSE),"")</f>
        <v/>
      </c>
      <c r="E396" t="str">
        <f>IFERROR(VLOOKUP(B396,Inventory!A:G,5,FALSE),"")</f>
        <v/>
      </c>
      <c r="F396" t="e">
        <f t="shared" si="6"/>
        <v>#VALUE!</v>
      </c>
    </row>
    <row r="397" spans="3:6" x14ac:dyDescent="0.3">
      <c r="C397" t="str">
        <f>IFERROR(VLOOKUP(B397,Inventory!A:G,2,FALSE),"")</f>
        <v/>
      </c>
      <c r="E397" t="str">
        <f>IFERROR(VLOOKUP(B397,Inventory!A:G,5,FALSE),"")</f>
        <v/>
      </c>
      <c r="F397" t="e">
        <f t="shared" si="6"/>
        <v>#VALUE!</v>
      </c>
    </row>
    <row r="398" spans="3:6" x14ac:dyDescent="0.3">
      <c r="C398" t="str">
        <f>IFERROR(VLOOKUP(B398,Inventory!A:G,2,FALSE),"")</f>
        <v/>
      </c>
      <c r="E398" t="str">
        <f>IFERROR(VLOOKUP(B398,Inventory!A:G,5,FALSE),"")</f>
        <v/>
      </c>
      <c r="F398" t="e">
        <f t="shared" si="6"/>
        <v>#VALUE!</v>
      </c>
    </row>
    <row r="399" spans="3:6" x14ac:dyDescent="0.3">
      <c r="C399" t="str">
        <f>IFERROR(VLOOKUP(B399,Inventory!A:G,2,FALSE),"")</f>
        <v/>
      </c>
      <c r="E399" t="str">
        <f>IFERROR(VLOOKUP(B399,Inventory!A:G,5,FALSE),"")</f>
        <v/>
      </c>
      <c r="F399" t="e">
        <f t="shared" si="6"/>
        <v>#VALUE!</v>
      </c>
    </row>
    <row r="400" spans="3:6" x14ac:dyDescent="0.3">
      <c r="C400" t="str">
        <f>IFERROR(VLOOKUP(B400,Inventory!A:G,2,FALSE),"")</f>
        <v/>
      </c>
      <c r="E400" t="str">
        <f>IFERROR(VLOOKUP(B400,Inventory!A:G,5,FALSE),"")</f>
        <v/>
      </c>
      <c r="F400" t="e">
        <f t="shared" si="6"/>
        <v>#VALUE!</v>
      </c>
    </row>
    <row r="401" spans="3:6" x14ac:dyDescent="0.3">
      <c r="C401" t="str">
        <f>IFERROR(VLOOKUP(B401,Inventory!A:G,2,FALSE),"")</f>
        <v/>
      </c>
      <c r="E401" t="str">
        <f>IFERROR(VLOOKUP(B401,Inventory!A:G,5,FALSE),"")</f>
        <v/>
      </c>
      <c r="F401" t="e">
        <f t="shared" si="6"/>
        <v>#VALUE!</v>
      </c>
    </row>
    <row r="402" spans="3:6" x14ac:dyDescent="0.3">
      <c r="C402" t="str">
        <f>IFERROR(VLOOKUP(B402,Inventory!A:G,2,FALSE),"")</f>
        <v/>
      </c>
      <c r="E402" t="str">
        <f>IFERROR(VLOOKUP(B402,Inventory!A:G,5,FALSE),"")</f>
        <v/>
      </c>
      <c r="F402" t="e">
        <f t="shared" si="6"/>
        <v>#VALUE!</v>
      </c>
    </row>
    <row r="403" spans="3:6" x14ac:dyDescent="0.3">
      <c r="C403" t="str">
        <f>IFERROR(VLOOKUP(B403,Inventory!A:G,2,FALSE),"")</f>
        <v/>
      </c>
      <c r="E403" t="str">
        <f>IFERROR(VLOOKUP(B403,Inventory!A:G,5,FALSE),"")</f>
        <v/>
      </c>
      <c r="F403" t="e">
        <f t="shared" si="6"/>
        <v>#VALUE!</v>
      </c>
    </row>
    <row r="404" spans="3:6" x14ac:dyDescent="0.3">
      <c r="C404" t="str">
        <f>IFERROR(VLOOKUP(B404,Inventory!A:G,2,FALSE),"")</f>
        <v/>
      </c>
      <c r="E404" t="str">
        <f>IFERROR(VLOOKUP(B404,Inventory!A:G,5,FALSE),"")</f>
        <v/>
      </c>
      <c r="F404" t="e">
        <f t="shared" si="6"/>
        <v>#VALUE!</v>
      </c>
    </row>
    <row r="405" spans="3:6" x14ac:dyDescent="0.3">
      <c r="C405" t="str">
        <f>IFERROR(VLOOKUP(B405,Inventory!A:G,2,FALSE),"")</f>
        <v/>
      </c>
      <c r="E405" t="str">
        <f>IFERROR(VLOOKUP(B405,Inventory!A:G,5,FALSE),"")</f>
        <v/>
      </c>
      <c r="F405" t="e">
        <f t="shared" si="6"/>
        <v>#VALUE!</v>
      </c>
    </row>
    <row r="406" spans="3:6" x14ac:dyDescent="0.3">
      <c r="C406" t="str">
        <f>IFERROR(VLOOKUP(B406,Inventory!A:G,2,FALSE),"")</f>
        <v/>
      </c>
      <c r="E406" t="str">
        <f>IFERROR(VLOOKUP(B406,Inventory!A:G,5,FALSE),"")</f>
        <v/>
      </c>
      <c r="F406" t="e">
        <f t="shared" si="6"/>
        <v>#VALUE!</v>
      </c>
    </row>
    <row r="407" spans="3:6" x14ac:dyDescent="0.3">
      <c r="C407" t="str">
        <f>IFERROR(VLOOKUP(B407,Inventory!A:G,2,FALSE),"")</f>
        <v/>
      </c>
      <c r="E407" t="str">
        <f>IFERROR(VLOOKUP(B407,Inventory!A:G,5,FALSE),"")</f>
        <v/>
      </c>
      <c r="F407" t="e">
        <f t="shared" si="6"/>
        <v>#VALUE!</v>
      </c>
    </row>
    <row r="408" spans="3:6" x14ac:dyDescent="0.3">
      <c r="C408" t="str">
        <f>IFERROR(VLOOKUP(B408,Inventory!A:G,2,FALSE),"")</f>
        <v/>
      </c>
      <c r="E408" t="str">
        <f>IFERROR(VLOOKUP(B408,Inventory!A:G,5,FALSE),"")</f>
        <v/>
      </c>
      <c r="F408" t="e">
        <f t="shared" si="6"/>
        <v>#VALUE!</v>
      </c>
    </row>
    <row r="409" spans="3:6" x14ac:dyDescent="0.3">
      <c r="C409" t="str">
        <f>IFERROR(VLOOKUP(B409,Inventory!A:G,2,FALSE),"")</f>
        <v/>
      </c>
      <c r="E409" t="str">
        <f>IFERROR(VLOOKUP(B409,Inventory!A:G,5,FALSE),"")</f>
        <v/>
      </c>
      <c r="F409" t="e">
        <f t="shared" si="6"/>
        <v>#VALUE!</v>
      </c>
    </row>
    <row r="410" spans="3:6" x14ac:dyDescent="0.3">
      <c r="C410" t="str">
        <f>IFERROR(VLOOKUP(B410,Inventory!A:G,2,FALSE),"")</f>
        <v/>
      </c>
      <c r="E410" t="str">
        <f>IFERROR(VLOOKUP(B410,Inventory!A:G,5,FALSE),"")</f>
        <v/>
      </c>
      <c r="F410" t="e">
        <f t="shared" si="6"/>
        <v>#VALUE!</v>
      </c>
    </row>
    <row r="411" spans="3:6" x14ac:dyDescent="0.3">
      <c r="C411" t="str">
        <f>IFERROR(VLOOKUP(B411,Inventory!A:G,2,FALSE),"")</f>
        <v/>
      </c>
      <c r="E411" t="str">
        <f>IFERROR(VLOOKUP(B411,Inventory!A:G,5,FALSE),"")</f>
        <v/>
      </c>
      <c r="F411" t="e">
        <f t="shared" si="6"/>
        <v>#VALUE!</v>
      </c>
    </row>
    <row r="412" spans="3:6" x14ac:dyDescent="0.3">
      <c r="C412" t="str">
        <f>IFERROR(VLOOKUP(B412,Inventory!A:G,2,FALSE),"")</f>
        <v/>
      </c>
      <c r="E412" t="str">
        <f>IFERROR(VLOOKUP(B412,Inventory!A:G,5,FALSE),"")</f>
        <v/>
      </c>
      <c r="F412" t="e">
        <f t="shared" si="6"/>
        <v>#VALUE!</v>
      </c>
    </row>
    <row r="413" spans="3:6" x14ac:dyDescent="0.3">
      <c r="C413" t="str">
        <f>IFERROR(VLOOKUP(B413,Inventory!A:G,2,FALSE),"")</f>
        <v/>
      </c>
      <c r="E413" t="str">
        <f>IFERROR(VLOOKUP(B413,Inventory!A:G,5,FALSE),"")</f>
        <v/>
      </c>
      <c r="F413" t="e">
        <f t="shared" si="6"/>
        <v>#VALUE!</v>
      </c>
    </row>
    <row r="414" spans="3:6" x14ac:dyDescent="0.3">
      <c r="C414" t="str">
        <f>IFERROR(VLOOKUP(B414,Inventory!A:G,2,FALSE),"")</f>
        <v/>
      </c>
      <c r="E414" t="str">
        <f>IFERROR(VLOOKUP(B414,Inventory!A:G,5,FALSE),"")</f>
        <v/>
      </c>
      <c r="F414" t="e">
        <f t="shared" si="6"/>
        <v>#VALUE!</v>
      </c>
    </row>
    <row r="415" spans="3:6" x14ac:dyDescent="0.3">
      <c r="C415" t="str">
        <f>IFERROR(VLOOKUP(B415,Inventory!A:G,2,FALSE),"")</f>
        <v/>
      </c>
      <c r="E415" t="str">
        <f>IFERROR(VLOOKUP(B415,Inventory!A:G,5,FALSE),"")</f>
        <v/>
      </c>
      <c r="F415" t="e">
        <f t="shared" si="6"/>
        <v>#VALUE!</v>
      </c>
    </row>
    <row r="416" spans="3:6" x14ac:dyDescent="0.3">
      <c r="C416" t="str">
        <f>IFERROR(VLOOKUP(B416,Inventory!A:G,2,FALSE),"")</f>
        <v/>
      </c>
      <c r="E416" t="str">
        <f>IFERROR(VLOOKUP(B416,Inventory!A:G,5,FALSE),"")</f>
        <v/>
      </c>
      <c r="F416" t="e">
        <f t="shared" si="6"/>
        <v>#VALUE!</v>
      </c>
    </row>
    <row r="417" spans="3:6" x14ac:dyDescent="0.3">
      <c r="C417" t="str">
        <f>IFERROR(VLOOKUP(B417,Inventory!A:G,2,FALSE),"")</f>
        <v/>
      </c>
      <c r="E417" t="str">
        <f>IFERROR(VLOOKUP(B417,Inventory!A:G,5,FALSE),"")</f>
        <v/>
      </c>
      <c r="F417" t="e">
        <f t="shared" si="6"/>
        <v>#VALUE!</v>
      </c>
    </row>
    <row r="418" spans="3:6" x14ac:dyDescent="0.3">
      <c r="C418" t="str">
        <f>IFERROR(VLOOKUP(B418,Inventory!A:G,2,FALSE),"")</f>
        <v/>
      </c>
      <c r="E418" t="str">
        <f>IFERROR(VLOOKUP(B418,Inventory!A:G,5,FALSE),"")</f>
        <v/>
      </c>
      <c r="F418" t="e">
        <f t="shared" si="6"/>
        <v>#VALUE!</v>
      </c>
    </row>
    <row r="419" spans="3:6" x14ac:dyDescent="0.3">
      <c r="C419" t="str">
        <f>IFERROR(VLOOKUP(B419,Inventory!A:G,2,FALSE),"")</f>
        <v/>
      </c>
      <c r="E419" t="str">
        <f>IFERROR(VLOOKUP(B419,Inventory!A:G,5,FALSE),"")</f>
        <v/>
      </c>
      <c r="F419" t="e">
        <f t="shared" si="6"/>
        <v>#VALUE!</v>
      </c>
    </row>
    <row r="420" spans="3:6" x14ac:dyDescent="0.3">
      <c r="C420" t="str">
        <f>IFERROR(VLOOKUP(B420,Inventory!A:G,2,FALSE),"")</f>
        <v/>
      </c>
      <c r="E420" t="str">
        <f>IFERROR(VLOOKUP(B420,Inventory!A:G,5,FALSE),"")</f>
        <v/>
      </c>
      <c r="F420" t="e">
        <f t="shared" si="6"/>
        <v>#VALUE!</v>
      </c>
    </row>
    <row r="421" spans="3:6" x14ac:dyDescent="0.3">
      <c r="C421" t="str">
        <f>IFERROR(VLOOKUP(B421,Inventory!A:G,2,FALSE),"")</f>
        <v/>
      </c>
      <c r="E421" t="str">
        <f>IFERROR(VLOOKUP(B421,Inventory!A:G,5,FALSE),"")</f>
        <v/>
      </c>
      <c r="F421" t="e">
        <f t="shared" si="6"/>
        <v>#VALUE!</v>
      </c>
    </row>
    <row r="422" spans="3:6" x14ac:dyDescent="0.3">
      <c r="C422" t="str">
        <f>IFERROR(VLOOKUP(B422,Inventory!A:G,2,FALSE),"")</f>
        <v/>
      </c>
      <c r="E422" t="str">
        <f>IFERROR(VLOOKUP(B422,Inventory!A:G,5,FALSE),"")</f>
        <v/>
      </c>
      <c r="F422" t="e">
        <f t="shared" si="6"/>
        <v>#VALUE!</v>
      </c>
    </row>
    <row r="423" spans="3:6" x14ac:dyDescent="0.3">
      <c r="C423" t="str">
        <f>IFERROR(VLOOKUP(B423,Inventory!A:G,2,FALSE),"")</f>
        <v/>
      </c>
      <c r="E423" t="str">
        <f>IFERROR(VLOOKUP(B423,Inventory!A:G,5,FALSE),"")</f>
        <v/>
      </c>
      <c r="F423" t="e">
        <f t="shared" si="6"/>
        <v>#VALUE!</v>
      </c>
    </row>
    <row r="424" spans="3:6" x14ac:dyDescent="0.3">
      <c r="C424" t="str">
        <f>IFERROR(VLOOKUP(B424,Inventory!A:G,2,FALSE),"")</f>
        <v/>
      </c>
      <c r="E424" t="str">
        <f>IFERROR(VLOOKUP(B424,Inventory!A:G,5,FALSE),"")</f>
        <v/>
      </c>
      <c r="F424" t="e">
        <f t="shared" si="6"/>
        <v>#VALUE!</v>
      </c>
    </row>
    <row r="425" spans="3:6" x14ac:dyDescent="0.3">
      <c r="C425" t="str">
        <f>IFERROR(VLOOKUP(B425,Inventory!A:G,2,FALSE),"")</f>
        <v/>
      </c>
      <c r="E425" t="str">
        <f>IFERROR(VLOOKUP(B425,Inventory!A:G,5,FALSE),"")</f>
        <v/>
      </c>
      <c r="F425" t="e">
        <f t="shared" si="6"/>
        <v>#VALUE!</v>
      </c>
    </row>
    <row r="426" spans="3:6" x14ac:dyDescent="0.3">
      <c r="C426" t="str">
        <f>IFERROR(VLOOKUP(B426,Inventory!A:G,2,FALSE),"")</f>
        <v/>
      </c>
      <c r="E426" t="str">
        <f>IFERROR(VLOOKUP(B426,Inventory!A:G,5,FALSE),"")</f>
        <v/>
      </c>
      <c r="F426" t="e">
        <f t="shared" si="6"/>
        <v>#VALUE!</v>
      </c>
    </row>
    <row r="427" spans="3:6" x14ac:dyDescent="0.3">
      <c r="C427" t="str">
        <f>IFERROR(VLOOKUP(B427,Inventory!A:G,2,FALSE),"")</f>
        <v/>
      </c>
      <c r="E427" t="str">
        <f>IFERROR(VLOOKUP(B427,Inventory!A:G,5,FALSE),"")</f>
        <v/>
      </c>
      <c r="F427" t="e">
        <f t="shared" si="6"/>
        <v>#VALUE!</v>
      </c>
    </row>
    <row r="428" spans="3:6" x14ac:dyDescent="0.3">
      <c r="C428" t="str">
        <f>IFERROR(VLOOKUP(B428,Inventory!A:G,2,FALSE),"")</f>
        <v/>
      </c>
      <c r="E428" t="str">
        <f>IFERROR(VLOOKUP(B428,Inventory!A:G,5,FALSE),"")</f>
        <v/>
      </c>
      <c r="F428" t="e">
        <f t="shared" si="6"/>
        <v>#VALUE!</v>
      </c>
    </row>
    <row r="429" spans="3:6" x14ac:dyDescent="0.3">
      <c r="C429" t="str">
        <f>IFERROR(VLOOKUP(B429,Inventory!A:G,2,FALSE),"")</f>
        <v/>
      </c>
      <c r="E429" t="str">
        <f>IFERROR(VLOOKUP(B429,Inventory!A:G,5,FALSE),"")</f>
        <v/>
      </c>
      <c r="F429" t="e">
        <f t="shared" si="6"/>
        <v>#VALUE!</v>
      </c>
    </row>
    <row r="430" spans="3:6" x14ac:dyDescent="0.3">
      <c r="C430" t="str">
        <f>IFERROR(VLOOKUP(B430,Inventory!A:G,2,FALSE),"")</f>
        <v/>
      </c>
      <c r="E430" t="str">
        <f>IFERROR(VLOOKUP(B430,Inventory!A:G,5,FALSE),"")</f>
        <v/>
      </c>
      <c r="F430" t="e">
        <f t="shared" si="6"/>
        <v>#VALUE!</v>
      </c>
    </row>
    <row r="431" spans="3:6" x14ac:dyDescent="0.3">
      <c r="C431" t="str">
        <f>IFERROR(VLOOKUP(B431,Inventory!A:G,2,FALSE),"")</f>
        <v/>
      </c>
      <c r="E431" t="str">
        <f>IFERROR(VLOOKUP(B431,Inventory!A:G,5,FALSE),"")</f>
        <v/>
      </c>
      <c r="F431" t="e">
        <f t="shared" si="6"/>
        <v>#VALUE!</v>
      </c>
    </row>
    <row r="432" spans="3:6" x14ac:dyDescent="0.3">
      <c r="C432" t="str">
        <f>IFERROR(VLOOKUP(B432,Inventory!A:G,2,FALSE),"")</f>
        <v/>
      </c>
      <c r="E432" t="str">
        <f>IFERROR(VLOOKUP(B432,Inventory!A:G,5,FALSE),"")</f>
        <v/>
      </c>
      <c r="F432" t="e">
        <f t="shared" si="6"/>
        <v>#VALUE!</v>
      </c>
    </row>
    <row r="433" spans="3:6" x14ac:dyDescent="0.3">
      <c r="C433" t="str">
        <f>IFERROR(VLOOKUP(B433,Inventory!A:G,2,FALSE),"")</f>
        <v/>
      </c>
      <c r="E433" t="str">
        <f>IFERROR(VLOOKUP(B433,Inventory!A:G,5,FALSE),"")</f>
        <v/>
      </c>
      <c r="F433" t="e">
        <f t="shared" si="6"/>
        <v>#VALUE!</v>
      </c>
    </row>
    <row r="434" spans="3:6" x14ac:dyDescent="0.3">
      <c r="C434" t="str">
        <f>IFERROR(VLOOKUP(B434,Inventory!A:G,2,FALSE),"")</f>
        <v/>
      </c>
      <c r="E434" t="str">
        <f>IFERROR(VLOOKUP(B434,Inventory!A:G,5,FALSE),"")</f>
        <v/>
      </c>
      <c r="F434" t="e">
        <f t="shared" si="6"/>
        <v>#VALUE!</v>
      </c>
    </row>
    <row r="435" spans="3:6" x14ac:dyDescent="0.3">
      <c r="C435" t="str">
        <f>IFERROR(VLOOKUP(B435,Inventory!A:G,2,FALSE),"")</f>
        <v/>
      </c>
      <c r="E435" t="str">
        <f>IFERROR(VLOOKUP(B435,Inventory!A:G,5,FALSE),"")</f>
        <v/>
      </c>
      <c r="F435" t="e">
        <f t="shared" si="6"/>
        <v>#VALUE!</v>
      </c>
    </row>
    <row r="436" spans="3:6" x14ac:dyDescent="0.3">
      <c r="C436" t="str">
        <f>IFERROR(VLOOKUP(B436,Inventory!A:G,2,FALSE),"")</f>
        <v/>
      </c>
      <c r="E436" t="str">
        <f>IFERROR(VLOOKUP(B436,Inventory!A:G,5,FALSE),"")</f>
        <v/>
      </c>
      <c r="F436" t="e">
        <f t="shared" si="6"/>
        <v>#VALUE!</v>
      </c>
    </row>
    <row r="437" spans="3:6" x14ac:dyDescent="0.3">
      <c r="C437" t="str">
        <f>IFERROR(VLOOKUP(B437,Inventory!A:G,2,FALSE),"")</f>
        <v/>
      </c>
      <c r="E437" t="str">
        <f>IFERROR(VLOOKUP(B437,Inventory!A:G,5,FALSE),"")</f>
        <v/>
      </c>
      <c r="F437" t="e">
        <f t="shared" si="6"/>
        <v>#VALUE!</v>
      </c>
    </row>
    <row r="438" spans="3:6" x14ac:dyDescent="0.3">
      <c r="C438" t="str">
        <f>IFERROR(VLOOKUP(B438,Inventory!A:G,2,FALSE),"")</f>
        <v/>
      </c>
      <c r="E438" t="str">
        <f>IFERROR(VLOOKUP(B438,Inventory!A:G,5,FALSE),"")</f>
        <v/>
      </c>
      <c r="F438" t="e">
        <f t="shared" si="6"/>
        <v>#VALUE!</v>
      </c>
    </row>
    <row r="439" spans="3:6" x14ac:dyDescent="0.3">
      <c r="C439" t="str">
        <f>IFERROR(VLOOKUP(B439,Inventory!A:G,2,FALSE),"")</f>
        <v/>
      </c>
      <c r="E439" t="str">
        <f>IFERROR(VLOOKUP(B439,Inventory!A:G,5,FALSE),"")</f>
        <v/>
      </c>
      <c r="F439" t="e">
        <f t="shared" si="6"/>
        <v>#VALUE!</v>
      </c>
    </row>
    <row r="440" spans="3:6" x14ac:dyDescent="0.3">
      <c r="C440" t="str">
        <f>IFERROR(VLOOKUP(B440,Inventory!A:G,2,FALSE),"")</f>
        <v/>
      </c>
      <c r="E440" t="str">
        <f>IFERROR(VLOOKUP(B440,Inventory!A:G,5,FALSE),"")</f>
        <v/>
      </c>
      <c r="F440" t="e">
        <f t="shared" si="6"/>
        <v>#VALUE!</v>
      </c>
    </row>
    <row r="441" spans="3:6" x14ac:dyDescent="0.3">
      <c r="C441" t="str">
        <f>IFERROR(VLOOKUP(B441,Inventory!A:G,2,FALSE),"")</f>
        <v/>
      </c>
      <c r="E441" t="str">
        <f>IFERROR(VLOOKUP(B441,Inventory!A:G,5,FALSE),"")</f>
        <v/>
      </c>
      <c r="F441" t="e">
        <f t="shared" si="6"/>
        <v>#VALUE!</v>
      </c>
    </row>
    <row r="442" spans="3:6" x14ac:dyDescent="0.3">
      <c r="C442" t="str">
        <f>IFERROR(VLOOKUP(B442,Inventory!A:G,2,FALSE),"")</f>
        <v/>
      </c>
      <c r="E442" t="str">
        <f>IFERROR(VLOOKUP(B442,Inventory!A:G,5,FALSE),"")</f>
        <v/>
      </c>
      <c r="F442" t="e">
        <f t="shared" si="6"/>
        <v>#VALUE!</v>
      </c>
    </row>
    <row r="443" spans="3:6" x14ac:dyDescent="0.3">
      <c r="C443" t="str">
        <f>IFERROR(VLOOKUP(B443,Inventory!A:G,2,FALSE),"")</f>
        <v/>
      </c>
      <c r="E443" t="str">
        <f>IFERROR(VLOOKUP(B443,Inventory!A:G,5,FALSE),"")</f>
        <v/>
      </c>
      <c r="F443" t="e">
        <f t="shared" si="6"/>
        <v>#VALUE!</v>
      </c>
    </row>
    <row r="444" spans="3:6" x14ac:dyDescent="0.3">
      <c r="C444" t="str">
        <f>IFERROR(VLOOKUP(B444,Inventory!A:G,2,FALSE),"")</f>
        <v/>
      </c>
      <c r="E444" t="str">
        <f>IFERROR(VLOOKUP(B444,Inventory!A:G,5,FALSE),"")</f>
        <v/>
      </c>
      <c r="F444" t="e">
        <f t="shared" si="6"/>
        <v>#VALUE!</v>
      </c>
    </row>
    <row r="445" spans="3:6" x14ac:dyDescent="0.3">
      <c r="C445" t="str">
        <f>IFERROR(VLOOKUP(B445,Inventory!A:G,2,FALSE),"")</f>
        <v/>
      </c>
      <c r="E445" t="str">
        <f>IFERROR(VLOOKUP(B445,Inventory!A:G,5,FALSE),"")</f>
        <v/>
      </c>
      <c r="F445" t="e">
        <f t="shared" si="6"/>
        <v>#VALUE!</v>
      </c>
    </row>
    <row r="446" spans="3:6" x14ac:dyDescent="0.3">
      <c r="C446" t="str">
        <f>IFERROR(VLOOKUP(B446,Inventory!A:G,2,FALSE),"")</f>
        <v/>
      </c>
      <c r="E446" t="str">
        <f>IFERROR(VLOOKUP(B446,Inventory!A:G,5,FALSE),"")</f>
        <v/>
      </c>
      <c r="F446" t="e">
        <f t="shared" si="6"/>
        <v>#VALUE!</v>
      </c>
    </row>
    <row r="447" spans="3:6" x14ac:dyDescent="0.3">
      <c r="C447" t="str">
        <f>IFERROR(VLOOKUP(B447,Inventory!A:G,2,FALSE),"")</f>
        <v/>
      </c>
      <c r="E447" t="str">
        <f>IFERROR(VLOOKUP(B447,Inventory!A:G,5,FALSE),"")</f>
        <v/>
      </c>
      <c r="F447" t="e">
        <f t="shared" si="6"/>
        <v>#VALUE!</v>
      </c>
    </row>
    <row r="448" spans="3:6" x14ac:dyDescent="0.3">
      <c r="C448" t="str">
        <f>IFERROR(VLOOKUP(B448,Inventory!A:G,2,FALSE),"")</f>
        <v/>
      </c>
      <c r="E448" t="str">
        <f>IFERROR(VLOOKUP(B448,Inventory!A:G,5,FALSE),"")</f>
        <v/>
      </c>
      <c r="F448" t="e">
        <f t="shared" si="6"/>
        <v>#VALUE!</v>
      </c>
    </row>
    <row r="449" spans="3:6" x14ac:dyDescent="0.3">
      <c r="C449" t="str">
        <f>IFERROR(VLOOKUP(B449,Inventory!A:G,2,FALSE),"")</f>
        <v/>
      </c>
      <c r="E449" t="str">
        <f>IFERROR(VLOOKUP(B449,Inventory!A:G,5,FALSE),"")</f>
        <v/>
      </c>
      <c r="F449" t="e">
        <f t="shared" si="6"/>
        <v>#VALUE!</v>
      </c>
    </row>
    <row r="450" spans="3:6" x14ac:dyDescent="0.3">
      <c r="C450" t="str">
        <f>IFERROR(VLOOKUP(B450,Inventory!A:G,2,FALSE),"")</f>
        <v/>
      </c>
      <c r="E450" t="str">
        <f>IFERROR(VLOOKUP(B450,Inventory!A:G,5,FALSE),"")</f>
        <v/>
      </c>
      <c r="F450" t="e">
        <f t="shared" ref="F450:F499" si="7">D450*E450</f>
        <v>#VALUE!</v>
      </c>
    </row>
    <row r="451" spans="3:6" x14ac:dyDescent="0.3">
      <c r="C451" t="str">
        <f>IFERROR(VLOOKUP(B451,Inventory!A:G,2,FALSE),"")</f>
        <v/>
      </c>
      <c r="E451" t="str">
        <f>IFERROR(VLOOKUP(B451,Inventory!A:G,5,FALSE),"")</f>
        <v/>
      </c>
      <c r="F451" t="e">
        <f t="shared" si="7"/>
        <v>#VALUE!</v>
      </c>
    </row>
    <row r="452" spans="3:6" x14ac:dyDescent="0.3">
      <c r="C452" t="str">
        <f>IFERROR(VLOOKUP(B452,Inventory!A:G,2,FALSE),"")</f>
        <v/>
      </c>
      <c r="E452" t="str">
        <f>IFERROR(VLOOKUP(B452,Inventory!A:G,5,FALSE),"")</f>
        <v/>
      </c>
      <c r="F452" t="e">
        <f t="shared" si="7"/>
        <v>#VALUE!</v>
      </c>
    </row>
    <row r="453" spans="3:6" x14ac:dyDescent="0.3">
      <c r="C453" t="str">
        <f>IFERROR(VLOOKUP(B453,Inventory!A:G,2,FALSE),"")</f>
        <v/>
      </c>
      <c r="E453" t="str">
        <f>IFERROR(VLOOKUP(B453,Inventory!A:G,5,FALSE),"")</f>
        <v/>
      </c>
      <c r="F453" t="e">
        <f t="shared" si="7"/>
        <v>#VALUE!</v>
      </c>
    </row>
    <row r="454" spans="3:6" x14ac:dyDescent="0.3">
      <c r="C454" t="str">
        <f>IFERROR(VLOOKUP(B454,Inventory!A:G,2,FALSE),"")</f>
        <v/>
      </c>
      <c r="E454" t="str">
        <f>IFERROR(VLOOKUP(B454,Inventory!A:G,5,FALSE),"")</f>
        <v/>
      </c>
      <c r="F454" t="e">
        <f t="shared" si="7"/>
        <v>#VALUE!</v>
      </c>
    </row>
    <row r="455" spans="3:6" x14ac:dyDescent="0.3">
      <c r="C455" t="str">
        <f>IFERROR(VLOOKUP(B455,Inventory!A:G,2,FALSE),"")</f>
        <v/>
      </c>
      <c r="E455" t="str">
        <f>IFERROR(VLOOKUP(B455,Inventory!A:G,5,FALSE),"")</f>
        <v/>
      </c>
      <c r="F455" t="e">
        <f t="shared" si="7"/>
        <v>#VALUE!</v>
      </c>
    </row>
    <row r="456" spans="3:6" x14ac:dyDescent="0.3">
      <c r="C456" t="str">
        <f>IFERROR(VLOOKUP(B456,Inventory!A:G,2,FALSE),"")</f>
        <v/>
      </c>
      <c r="E456" t="str">
        <f>IFERROR(VLOOKUP(B456,Inventory!A:G,5,FALSE),"")</f>
        <v/>
      </c>
      <c r="F456" t="e">
        <f t="shared" si="7"/>
        <v>#VALUE!</v>
      </c>
    </row>
    <row r="457" spans="3:6" x14ac:dyDescent="0.3">
      <c r="C457" t="str">
        <f>IFERROR(VLOOKUP(B457,Inventory!A:G,2,FALSE),"")</f>
        <v/>
      </c>
      <c r="E457" t="str">
        <f>IFERROR(VLOOKUP(B457,Inventory!A:G,5,FALSE),"")</f>
        <v/>
      </c>
      <c r="F457" t="e">
        <f t="shared" si="7"/>
        <v>#VALUE!</v>
      </c>
    </row>
    <row r="458" spans="3:6" x14ac:dyDescent="0.3">
      <c r="C458" t="str">
        <f>IFERROR(VLOOKUP(B458,Inventory!A:G,2,FALSE),"")</f>
        <v/>
      </c>
      <c r="E458" t="str">
        <f>IFERROR(VLOOKUP(B458,Inventory!A:G,5,FALSE),"")</f>
        <v/>
      </c>
      <c r="F458" t="e">
        <f t="shared" si="7"/>
        <v>#VALUE!</v>
      </c>
    </row>
    <row r="459" spans="3:6" x14ac:dyDescent="0.3">
      <c r="C459" t="str">
        <f>IFERROR(VLOOKUP(B459,Inventory!A:G,2,FALSE),"")</f>
        <v/>
      </c>
      <c r="E459" t="str">
        <f>IFERROR(VLOOKUP(B459,Inventory!A:G,5,FALSE),"")</f>
        <v/>
      </c>
      <c r="F459" t="e">
        <f t="shared" si="7"/>
        <v>#VALUE!</v>
      </c>
    </row>
    <row r="460" spans="3:6" x14ac:dyDescent="0.3">
      <c r="C460" t="str">
        <f>IFERROR(VLOOKUP(B460,Inventory!A:G,2,FALSE),"")</f>
        <v/>
      </c>
      <c r="E460" t="str">
        <f>IFERROR(VLOOKUP(B460,Inventory!A:G,5,FALSE),"")</f>
        <v/>
      </c>
      <c r="F460" t="e">
        <f t="shared" si="7"/>
        <v>#VALUE!</v>
      </c>
    </row>
    <row r="461" spans="3:6" x14ac:dyDescent="0.3">
      <c r="C461" t="str">
        <f>IFERROR(VLOOKUP(B461,Inventory!A:G,2,FALSE),"")</f>
        <v/>
      </c>
      <c r="E461" t="str">
        <f>IFERROR(VLOOKUP(B461,Inventory!A:G,5,FALSE),"")</f>
        <v/>
      </c>
      <c r="F461" t="e">
        <f t="shared" si="7"/>
        <v>#VALUE!</v>
      </c>
    </row>
    <row r="462" spans="3:6" x14ac:dyDescent="0.3">
      <c r="C462" t="str">
        <f>IFERROR(VLOOKUP(B462,Inventory!A:G,2,FALSE),"")</f>
        <v/>
      </c>
      <c r="E462" t="str">
        <f>IFERROR(VLOOKUP(B462,Inventory!A:G,5,FALSE),"")</f>
        <v/>
      </c>
      <c r="F462" t="e">
        <f t="shared" si="7"/>
        <v>#VALUE!</v>
      </c>
    </row>
    <row r="463" spans="3:6" x14ac:dyDescent="0.3">
      <c r="C463" t="str">
        <f>IFERROR(VLOOKUP(B463,Inventory!A:G,2,FALSE),"")</f>
        <v/>
      </c>
      <c r="E463" t="str">
        <f>IFERROR(VLOOKUP(B463,Inventory!A:G,5,FALSE),"")</f>
        <v/>
      </c>
      <c r="F463" t="e">
        <f t="shared" si="7"/>
        <v>#VALUE!</v>
      </c>
    </row>
    <row r="464" spans="3:6" x14ac:dyDescent="0.3">
      <c r="C464" t="str">
        <f>IFERROR(VLOOKUP(B464,Inventory!A:G,2,FALSE),"")</f>
        <v/>
      </c>
      <c r="E464" t="str">
        <f>IFERROR(VLOOKUP(B464,Inventory!A:G,5,FALSE),"")</f>
        <v/>
      </c>
      <c r="F464" t="e">
        <f t="shared" si="7"/>
        <v>#VALUE!</v>
      </c>
    </row>
    <row r="465" spans="3:6" x14ac:dyDescent="0.3">
      <c r="C465" t="str">
        <f>IFERROR(VLOOKUP(B465,Inventory!A:G,2,FALSE),"")</f>
        <v/>
      </c>
      <c r="E465" t="str">
        <f>IFERROR(VLOOKUP(B465,Inventory!A:G,5,FALSE),"")</f>
        <v/>
      </c>
      <c r="F465" t="e">
        <f t="shared" si="7"/>
        <v>#VALUE!</v>
      </c>
    </row>
    <row r="466" spans="3:6" x14ac:dyDescent="0.3">
      <c r="C466" t="str">
        <f>IFERROR(VLOOKUP(B466,Inventory!A:G,2,FALSE),"")</f>
        <v/>
      </c>
      <c r="E466" t="str">
        <f>IFERROR(VLOOKUP(B466,Inventory!A:G,5,FALSE),"")</f>
        <v/>
      </c>
      <c r="F466" t="e">
        <f t="shared" si="7"/>
        <v>#VALUE!</v>
      </c>
    </row>
    <row r="467" spans="3:6" x14ac:dyDescent="0.3">
      <c r="C467" t="str">
        <f>IFERROR(VLOOKUP(B467,Inventory!A:G,2,FALSE),"")</f>
        <v/>
      </c>
      <c r="E467" t="str">
        <f>IFERROR(VLOOKUP(B467,Inventory!A:G,5,FALSE),"")</f>
        <v/>
      </c>
      <c r="F467" t="e">
        <f t="shared" si="7"/>
        <v>#VALUE!</v>
      </c>
    </row>
    <row r="468" spans="3:6" x14ac:dyDescent="0.3">
      <c r="C468" t="str">
        <f>IFERROR(VLOOKUP(B468,Inventory!A:G,2,FALSE),"")</f>
        <v/>
      </c>
      <c r="E468" t="str">
        <f>IFERROR(VLOOKUP(B468,Inventory!A:G,5,FALSE),"")</f>
        <v/>
      </c>
      <c r="F468" t="e">
        <f t="shared" si="7"/>
        <v>#VALUE!</v>
      </c>
    </row>
    <row r="469" spans="3:6" x14ac:dyDescent="0.3">
      <c r="C469" t="str">
        <f>IFERROR(VLOOKUP(B469,Inventory!A:G,2,FALSE),"")</f>
        <v/>
      </c>
      <c r="E469" t="str">
        <f>IFERROR(VLOOKUP(B469,Inventory!A:G,5,FALSE),"")</f>
        <v/>
      </c>
      <c r="F469" t="e">
        <f t="shared" si="7"/>
        <v>#VALUE!</v>
      </c>
    </row>
    <row r="470" spans="3:6" x14ac:dyDescent="0.3">
      <c r="C470" t="str">
        <f>IFERROR(VLOOKUP(B470,Inventory!A:G,2,FALSE),"")</f>
        <v/>
      </c>
      <c r="E470" t="str">
        <f>IFERROR(VLOOKUP(B470,Inventory!A:G,5,FALSE),"")</f>
        <v/>
      </c>
      <c r="F470" t="e">
        <f t="shared" si="7"/>
        <v>#VALUE!</v>
      </c>
    </row>
    <row r="471" spans="3:6" x14ac:dyDescent="0.3">
      <c r="C471" t="str">
        <f>IFERROR(VLOOKUP(B471,Inventory!A:G,2,FALSE),"")</f>
        <v/>
      </c>
      <c r="E471" t="str">
        <f>IFERROR(VLOOKUP(B471,Inventory!A:G,5,FALSE),"")</f>
        <v/>
      </c>
      <c r="F471" t="e">
        <f t="shared" si="7"/>
        <v>#VALUE!</v>
      </c>
    </row>
    <row r="472" spans="3:6" x14ac:dyDescent="0.3">
      <c r="C472" t="str">
        <f>IFERROR(VLOOKUP(B472,Inventory!A:G,2,FALSE),"")</f>
        <v/>
      </c>
      <c r="E472" t="str">
        <f>IFERROR(VLOOKUP(B472,Inventory!A:G,5,FALSE),"")</f>
        <v/>
      </c>
      <c r="F472" t="e">
        <f t="shared" si="7"/>
        <v>#VALUE!</v>
      </c>
    </row>
    <row r="473" spans="3:6" x14ac:dyDescent="0.3">
      <c r="C473" t="str">
        <f>IFERROR(VLOOKUP(B473,Inventory!A:G,2,FALSE),"")</f>
        <v/>
      </c>
      <c r="E473" t="str">
        <f>IFERROR(VLOOKUP(B473,Inventory!A:G,5,FALSE),"")</f>
        <v/>
      </c>
      <c r="F473" t="e">
        <f t="shared" si="7"/>
        <v>#VALUE!</v>
      </c>
    </row>
    <row r="474" spans="3:6" x14ac:dyDescent="0.3">
      <c r="C474" t="str">
        <f>IFERROR(VLOOKUP(B474,Inventory!A:G,2,FALSE),"")</f>
        <v/>
      </c>
      <c r="E474" t="str">
        <f>IFERROR(VLOOKUP(B474,Inventory!A:G,5,FALSE),"")</f>
        <v/>
      </c>
      <c r="F474" t="e">
        <f t="shared" si="7"/>
        <v>#VALUE!</v>
      </c>
    </row>
    <row r="475" spans="3:6" x14ac:dyDescent="0.3">
      <c r="C475" t="str">
        <f>IFERROR(VLOOKUP(B475,Inventory!A:G,2,FALSE),"")</f>
        <v/>
      </c>
      <c r="E475" t="str">
        <f>IFERROR(VLOOKUP(B475,Inventory!A:G,5,FALSE),"")</f>
        <v/>
      </c>
      <c r="F475" t="e">
        <f t="shared" si="7"/>
        <v>#VALUE!</v>
      </c>
    </row>
    <row r="476" spans="3:6" x14ac:dyDescent="0.3">
      <c r="C476" t="str">
        <f>IFERROR(VLOOKUP(B476,Inventory!A:G,2,FALSE),"")</f>
        <v/>
      </c>
      <c r="E476" t="str">
        <f>IFERROR(VLOOKUP(B476,Inventory!A:G,5,FALSE),"")</f>
        <v/>
      </c>
      <c r="F476" t="e">
        <f t="shared" si="7"/>
        <v>#VALUE!</v>
      </c>
    </row>
    <row r="477" spans="3:6" x14ac:dyDescent="0.3">
      <c r="C477" t="str">
        <f>IFERROR(VLOOKUP(B477,Inventory!A:G,2,FALSE),"")</f>
        <v/>
      </c>
      <c r="E477" t="str">
        <f>IFERROR(VLOOKUP(B477,Inventory!A:G,5,FALSE),"")</f>
        <v/>
      </c>
      <c r="F477" t="e">
        <f t="shared" si="7"/>
        <v>#VALUE!</v>
      </c>
    </row>
    <row r="478" spans="3:6" x14ac:dyDescent="0.3">
      <c r="C478" t="str">
        <f>IFERROR(VLOOKUP(B478,Inventory!A:G,2,FALSE),"")</f>
        <v/>
      </c>
      <c r="E478" t="str">
        <f>IFERROR(VLOOKUP(B478,Inventory!A:G,5,FALSE),"")</f>
        <v/>
      </c>
      <c r="F478" t="e">
        <f t="shared" si="7"/>
        <v>#VALUE!</v>
      </c>
    </row>
    <row r="479" spans="3:6" x14ac:dyDescent="0.3">
      <c r="C479" t="str">
        <f>IFERROR(VLOOKUP(B479,Inventory!A:G,2,FALSE),"")</f>
        <v/>
      </c>
      <c r="E479" t="str">
        <f>IFERROR(VLOOKUP(B479,Inventory!A:G,5,FALSE),"")</f>
        <v/>
      </c>
      <c r="F479" t="e">
        <f t="shared" si="7"/>
        <v>#VALUE!</v>
      </c>
    </row>
    <row r="480" spans="3:6" x14ac:dyDescent="0.3">
      <c r="C480" t="str">
        <f>IFERROR(VLOOKUP(B480,Inventory!A:G,2,FALSE),"")</f>
        <v/>
      </c>
      <c r="E480" t="str">
        <f>IFERROR(VLOOKUP(B480,Inventory!A:G,5,FALSE),"")</f>
        <v/>
      </c>
      <c r="F480" t="e">
        <f t="shared" si="7"/>
        <v>#VALUE!</v>
      </c>
    </row>
    <row r="481" spans="3:6" x14ac:dyDescent="0.3">
      <c r="C481" t="str">
        <f>IFERROR(VLOOKUP(B481,Inventory!A:G,2,FALSE),"")</f>
        <v/>
      </c>
      <c r="E481" t="str">
        <f>IFERROR(VLOOKUP(B481,Inventory!A:G,5,FALSE),"")</f>
        <v/>
      </c>
      <c r="F481" t="e">
        <f t="shared" si="7"/>
        <v>#VALUE!</v>
      </c>
    </row>
    <row r="482" spans="3:6" x14ac:dyDescent="0.3">
      <c r="C482" t="str">
        <f>IFERROR(VLOOKUP(B482,Inventory!A:G,2,FALSE),"")</f>
        <v/>
      </c>
      <c r="E482" t="str">
        <f>IFERROR(VLOOKUP(B482,Inventory!A:G,5,FALSE),"")</f>
        <v/>
      </c>
      <c r="F482" t="e">
        <f t="shared" si="7"/>
        <v>#VALUE!</v>
      </c>
    </row>
    <row r="483" spans="3:6" x14ac:dyDescent="0.3">
      <c r="C483" t="str">
        <f>IFERROR(VLOOKUP(B483,Inventory!A:G,2,FALSE),"")</f>
        <v/>
      </c>
      <c r="E483" t="str">
        <f>IFERROR(VLOOKUP(B483,Inventory!A:G,5,FALSE),"")</f>
        <v/>
      </c>
      <c r="F483" t="e">
        <f t="shared" si="7"/>
        <v>#VALUE!</v>
      </c>
    </row>
    <row r="484" spans="3:6" x14ac:dyDescent="0.3">
      <c r="C484" t="str">
        <f>IFERROR(VLOOKUP(B484,Inventory!A:G,2,FALSE),"")</f>
        <v/>
      </c>
      <c r="E484" t="str">
        <f>IFERROR(VLOOKUP(B484,Inventory!A:G,5,FALSE),"")</f>
        <v/>
      </c>
      <c r="F484" t="e">
        <f t="shared" si="7"/>
        <v>#VALUE!</v>
      </c>
    </row>
    <row r="485" spans="3:6" x14ac:dyDescent="0.3">
      <c r="C485" t="str">
        <f>IFERROR(VLOOKUP(B485,Inventory!A:G,2,FALSE),"")</f>
        <v/>
      </c>
      <c r="E485" t="str">
        <f>IFERROR(VLOOKUP(B485,Inventory!A:G,5,FALSE),"")</f>
        <v/>
      </c>
      <c r="F485" t="e">
        <f t="shared" si="7"/>
        <v>#VALUE!</v>
      </c>
    </row>
    <row r="486" spans="3:6" x14ac:dyDescent="0.3">
      <c r="C486" t="str">
        <f>IFERROR(VLOOKUP(B486,Inventory!A:G,2,FALSE),"")</f>
        <v/>
      </c>
      <c r="E486" t="str">
        <f>IFERROR(VLOOKUP(B486,Inventory!A:G,5,FALSE),"")</f>
        <v/>
      </c>
      <c r="F486" t="e">
        <f t="shared" si="7"/>
        <v>#VALUE!</v>
      </c>
    </row>
    <row r="487" spans="3:6" x14ac:dyDescent="0.3">
      <c r="C487" t="str">
        <f>IFERROR(VLOOKUP(B487,Inventory!A:G,2,FALSE),"")</f>
        <v/>
      </c>
      <c r="E487" t="str">
        <f>IFERROR(VLOOKUP(B487,Inventory!A:G,5,FALSE),"")</f>
        <v/>
      </c>
      <c r="F487" t="e">
        <f t="shared" si="7"/>
        <v>#VALUE!</v>
      </c>
    </row>
    <row r="488" spans="3:6" x14ac:dyDescent="0.3">
      <c r="C488" t="str">
        <f>IFERROR(VLOOKUP(B488,Inventory!A:G,2,FALSE),"")</f>
        <v/>
      </c>
      <c r="E488" t="str">
        <f>IFERROR(VLOOKUP(B488,Inventory!A:G,5,FALSE),"")</f>
        <v/>
      </c>
      <c r="F488" t="e">
        <f t="shared" si="7"/>
        <v>#VALUE!</v>
      </c>
    </row>
    <row r="489" spans="3:6" x14ac:dyDescent="0.3">
      <c r="C489" t="str">
        <f>IFERROR(VLOOKUP(B489,Inventory!A:G,2,FALSE),"")</f>
        <v/>
      </c>
      <c r="E489" t="str">
        <f>IFERROR(VLOOKUP(B489,Inventory!A:G,5,FALSE),"")</f>
        <v/>
      </c>
      <c r="F489" t="e">
        <f t="shared" si="7"/>
        <v>#VALUE!</v>
      </c>
    </row>
    <row r="490" spans="3:6" x14ac:dyDescent="0.3">
      <c r="C490" t="str">
        <f>IFERROR(VLOOKUP(B490,Inventory!A:G,2,FALSE),"")</f>
        <v/>
      </c>
      <c r="E490" t="str">
        <f>IFERROR(VLOOKUP(B490,Inventory!A:G,5,FALSE),"")</f>
        <v/>
      </c>
      <c r="F490" t="e">
        <f t="shared" si="7"/>
        <v>#VALUE!</v>
      </c>
    </row>
    <row r="491" spans="3:6" x14ac:dyDescent="0.3">
      <c r="C491" t="str">
        <f>IFERROR(VLOOKUP(B491,Inventory!A:G,2,FALSE),"")</f>
        <v/>
      </c>
      <c r="E491" t="str">
        <f>IFERROR(VLOOKUP(B491,Inventory!A:G,5,FALSE),"")</f>
        <v/>
      </c>
      <c r="F491" t="e">
        <f t="shared" si="7"/>
        <v>#VALUE!</v>
      </c>
    </row>
    <row r="492" spans="3:6" x14ac:dyDescent="0.3">
      <c r="C492" t="str">
        <f>IFERROR(VLOOKUP(B492,Inventory!A:G,2,FALSE),"")</f>
        <v/>
      </c>
      <c r="E492" t="str">
        <f>IFERROR(VLOOKUP(B492,Inventory!A:G,5,FALSE),"")</f>
        <v/>
      </c>
      <c r="F492" t="e">
        <f t="shared" si="7"/>
        <v>#VALUE!</v>
      </c>
    </row>
    <row r="493" spans="3:6" x14ac:dyDescent="0.3">
      <c r="C493" t="str">
        <f>IFERROR(VLOOKUP(B493,Inventory!A:G,2,FALSE),"")</f>
        <v/>
      </c>
      <c r="E493" t="str">
        <f>IFERROR(VLOOKUP(B493,Inventory!A:G,5,FALSE),"")</f>
        <v/>
      </c>
      <c r="F493" t="e">
        <f t="shared" si="7"/>
        <v>#VALUE!</v>
      </c>
    </row>
    <row r="494" spans="3:6" x14ac:dyDescent="0.3">
      <c r="C494" t="str">
        <f>IFERROR(VLOOKUP(B494,Inventory!A:G,2,FALSE),"")</f>
        <v/>
      </c>
      <c r="E494" t="str">
        <f>IFERROR(VLOOKUP(B494,Inventory!A:G,5,FALSE),"")</f>
        <v/>
      </c>
      <c r="F494" t="e">
        <f t="shared" si="7"/>
        <v>#VALUE!</v>
      </c>
    </row>
    <row r="495" spans="3:6" x14ac:dyDescent="0.3">
      <c r="C495" t="str">
        <f>IFERROR(VLOOKUP(B495,Inventory!A:G,2,FALSE),"")</f>
        <v/>
      </c>
      <c r="E495" t="str">
        <f>IFERROR(VLOOKUP(B495,Inventory!A:G,5,FALSE),"")</f>
        <v/>
      </c>
      <c r="F495" t="e">
        <f t="shared" si="7"/>
        <v>#VALUE!</v>
      </c>
    </row>
    <row r="496" spans="3:6" x14ac:dyDescent="0.3">
      <c r="C496" t="str">
        <f>IFERROR(VLOOKUP(B496,Inventory!A:G,2,FALSE),"")</f>
        <v/>
      </c>
      <c r="E496" t="str">
        <f>IFERROR(VLOOKUP(B496,Inventory!A:G,5,FALSE),"")</f>
        <v/>
      </c>
      <c r="F496" t="e">
        <f t="shared" si="7"/>
        <v>#VALUE!</v>
      </c>
    </row>
    <row r="497" spans="3:6" x14ac:dyDescent="0.3">
      <c r="C497" t="str">
        <f>IFERROR(VLOOKUP(B497,Inventory!A:G,2,FALSE),"")</f>
        <v/>
      </c>
      <c r="E497" t="str">
        <f>IFERROR(VLOOKUP(B497,Inventory!A:G,5,FALSE),"")</f>
        <v/>
      </c>
      <c r="F497" t="e">
        <f t="shared" si="7"/>
        <v>#VALUE!</v>
      </c>
    </row>
    <row r="498" spans="3:6" x14ac:dyDescent="0.3">
      <c r="C498" t="str">
        <f>IFERROR(VLOOKUP(B498,Inventory!A:G,2,FALSE),"")</f>
        <v/>
      </c>
      <c r="E498" t="str">
        <f>IFERROR(VLOOKUP(B498,Inventory!A:G,5,FALSE),"")</f>
        <v/>
      </c>
      <c r="F498" t="e">
        <f t="shared" si="7"/>
        <v>#VALUE!</v>
      </c>
    </row>
    <row r="499" spans="3:6" x14ac:dyDescent="0.3">
      <c r="C499" t="str">
        <f>IFERROR(VLOOKUP(B499,Inventory!A:G,2,FALSE),"")</f>
        <v/>
      </c>
      <c r="E499" t="str">
        <f>IFERROR(VLOOKUP(B499,Inventory!A:G,5,FALSE),"")</f>
        <v/>
      </c>
      <c r="F499" t="e">
        <f t="shared" si="7"/>
        <v>#VALUE!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Inventory!#REF!</xm:f>
          </x14:formula1>
          <xm:sqref>B2:B500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9"/>
  <sheetViews>
    <sheetView workbookViewId="0">
      <selection activeCell="A2" sqref="A2"/>
    </sheetView>
  </sheetViews>
  <sheetFormatPr defaultRowHeight="14.4" x14ac:dyDescent="0.3"/>
  <cols>
    <col min="1" max="1" width="10.77734375" bestFit="1" customWidth="1"/>
  </cols>
  <sheetData>
    <row r="1" spans="1:6" x14ac:dyDescent="0.3">
      <c r="A1" s="1" t="s">
        <v>8</v>
      </c>
      <c r="B1" s="1" t="s">
        <v>0</v>
      </c>
      <c r="C1" s="1" t="s">
        <v>1</v>
      </c>
      <c r="D1" s="1" t="s">
        <v>13</v>
      </c>
      <c r="E1" s="1" t="s">
        <v>3</v>
      </c>
      <c r="F1" s="1" t="s">
        <v>14</v>
      </c>
    </row>
    <row r="2" spans="1:6" x14ac:dyDescent="0.3">
      <c r="A2" s="3">
        <v>46127</v>
      </c>
      <c r="B2" t="s">
        <v>40</v>
      </c>
      <c r="C2" t="str">
        <f>IFERROR(VLOOKUP(B2,Inventory!A:G,2,FALSE),"")</f>
        <v/>
      </c>
      <c r="D2">
        <v>20</v>
      </c>
      <c r="E2" t="str">
        <f>IFERROR(VLOOKUP(B2,Inventory!A:G,4,FALSE),"")</f>
        <v/>
      </c>
      <c r="F2" t="e">
        <f t="shared" ref="F2:F65" si="0">D2*E2</f>
        <v>#VALUE!</v>
      </c>
    </row>
    <row r="3" spans="1:6" x14ac:dyDescent="0.3">
      <c r="C3" t="str">
        <f>IFERROR(VLOOKUP(B3,Inventory!A:G,2,FALSE),"")</f>
        <v/>
      </c>
      <c r="E3" t="str">
        <f>IFERROR(VLOOKUP(B3,Inventory!A:G,4,FALSE),"")</f>
        <v/>
      </c>
      <c r="F3" t="e">
        <f t="shared" si="0"/>
        <v>#VALUE!</v>
      </c>
    </row>
    <row r="4" spans="1:6" x14ac:dyDescent="0.3">
      <c r="C4" t="str">
        <f>IFERROR(VLOOKUP(B4,Inventory!A:G,2,FALSE),"")</f>
        <v/>
      </c>
      <c r="E4" t="str">
        <f>IFERROR(VLOOKUP(B4,Inventory!A:G,4,FALSE),"")</f>
        <v/>
      </c>
      <c r="F4" t="e">
        <f t="shared" si="0"/>
        <v>#VALUE!</v>
      </c>
    </row>
    <row r="5" spans="1:6" x14ac:dyDescent="0.3">
      <c r="C5" t="str">
        <f>IFERROR(VLOOKUP(B5,Inventory!A:G,2,FALSE),"")</f>
        <v/>
      </c>
      <c r="E5" t="str">
        <f>IFERROR(VLOOKUP(B5,Inventory!A:G,4,FALSE),"")</f>
        <v/>
      </c>
      <c r="F5" t="e">
        <f t="shared" si="0"/>
        <v>#VALUE!</v>
      </c>
    </row>
    <row r="6" spans="1:6" x14ac:dyDescent="0.3">
      <c r="C6" t="str">
        <f>IFERROR(VLOOKUP(B6,Inventory!A:G,2,FALSE),"")</f>
        <v/>
      </c>
      <c r="E6" t="str">
        <f>IFERROR(VLOOKUP(B6,Inventory!A:G,4,FALSE),"")</f>
        <v/>
      </c>
      <c r="F6" t="e">
        <f t="shared" si="0"/>
        <v>#VALUE!</v>
      </c>
    </row>
    <row r="7" spans="1:6" x14ac:dyDescent="0.3">
      <c r="C7" t="str">
        <f>IFERROR(VLOOKUP(B7,Inventory!A:G,2,FALSE),"")</f>
        <v/>
      </c>
      <c r="E7" t="str">
        <f>IFERROR(VLOOKUP(B7,Inventory!A:G,4,FALSE),"")</f>
        <v/>
      </c>
      <c r="F7" t="e">
        <f t="shared" si="0"/>
        <v>#VALUE!</v>
      </c>
    </row>
    <row r="8" spans="1:6" x14ac:dyDescent="0.3">
      <c r="C8" t="str">
        <f>IFERROR(VLOOKUP(B8,Inventory!A:G,2,FALSE),"")</f>
        <v/>
      </c>
      <c r="E8" t="str">
        <f>IFERROR(VLOOKUP(B8,Inventory!A:G,4,FALSE),"")</f>
        <v/>
      </c>
      <c r="F8" t="e">
        <f t="shared" si="0"/>
        <v>#VALUE!</v>
      </c>
    </row>
    <row r="9" spans="1:6" x14ac:dyDescent="0.3">
      <c r="C9" t="str">
        <f>IFERROR(VLOOKUP(B9,Inventory!A:G,2,FALSE),"")</f>
        <v/>
      </c>
      <c r="E9" t="str">
        <f>IFERROR(VLOOKUP(B9,Inventory!A:G,4,FALSE),"")</f>
        <v/>
      </c>
      <c r="F9" t="e">
        <f t="shared" si="0"/>
        <v>#VALUE!</v>
      </c>
    </row>
    <row r="10" spans="1:6" x14ac:dyDescent="0.3">
      <c r="C10" t="str">
        <f>IFERROR(VLOOKUP(B10,Inventory!A:G,2,FALSE),"")</f>
        <v/>
      </c>
      <c r="E10" t="str">
        <f>IFERROR(VLOOKUP(B10,Inventory!A:G,4,FALSE),"")</f>
        <v/>
      </c>
      <c r="F10" t="e">
        <f t="shared" si="0"/>
        <v>#VALUE!</v>
      </c>
    </row>
    <row r="11" spans="1:6" x14ac:dyDescent="0.3">
      <c r="C11" t="str">
        <f>IFERROR(VLOOKUP(B11,Inventory!A:G,2,FALSE),"")</f>
        <v/>
      </c>
      <c r="E11" t="str">
        <f>IFERROR(VLOOKUP(B11,Inventory!A:G,4,FALSE),"")</f>
        <v/>
      </c>
      <c r="F11" t="e">
        <f t="shared" si="0"/>
        <v>#VALUE!</v>
      </c>
    </row>
    <row r="12" spans="1:6" x14ac:dyDescent="0.3">
      <c r="C12" t="str">
        <f>IFERROR(VLOOKUP(B12,Inventory!A:G,2,FALSE),"")</f>
        <v/>
      </c>
      <c r="E12" t="str">
        <f>IFERROR(VLOOKUP(B12,Inventory!A:G,4,FALSE),"")</f>
        <v/>
      </c>
      <c r="F12" t="e">
        <f t="shared" si="0"/>
        <v>#VALUE!</v>
      </c>
    </row>
    <row r="13" spans="1:6" x14ac:dyDescent="0.3">
      <c r="C13" t="str">
        <f>IFERROR(VLOOKUP(B13,Inventory!A:G,2,FALSE),"")</f>
        <v/>
      </c>
      <c r="E13" t="str">
        <f>IFERROR(VLOOKUP(B13,Inventory!A:G,4,FALSE),"")</f>
        <v/>
      </c>
      <c r="F13" t="e">
        <f t="shared" si="0"/>
        <v>#VALUE!</v>
      </c>
    </row>
    <row r="14" spans="1:6" x14ac:dyDescent="0.3">
      <c r="C14" t="str">
        <f>IFERROR(VLOOKUP(B14,Inventory!A:G,2,FALSE),"")</f>
        <v/>
      </c>
      <c r="E14" t="str">
        <f>IFERROR(VLOOKUP(B14,Inventory!A:G,4,FALSE),"")</f>
        <v/>
      </c>
      <c r="F14" t="e">
        <f t="shared" si="0"/>
        <v>#VALUE!</v>
      </c>
    </row>
    <row r="15" spans="1:6" x14ac:dyDescent="0.3">
      <c r="C15" t="str">
        <f>IFERROR(VLOOKUP(B15,Inventory!A:G,2,FALSE),"")</f>
        <v/>
      </c>
      <c r="E15" t="str">
        <f>IFERROR(VLOOKUP(B15,Inventory!A:G,4,FALSE),"")</f>
        <v/>
      </c>
      <c r="F15" t="e">
        <f t="shared" si="0"/>
        <v>#VALUE!</v>
      </c>
    </row>
    <row r="16" spans="1:6" x14ac:dyDescent="0.3">
      <c r="C16" t="str">
        <f>IFERROR(VLOOKUP(B16,Inventory!A:G,2,FALSE),"")</f>
        <v/>
      </c>
      <c r="E16" t="str">
        <f>IFERROR(VLOOKUP(B16,Inventory!A:G,4,FALSE),"")</f>
        <v/>
      </c>
      <c r="F16" t="e">
        <f t="shared" si="0"/>
        <v>#VALUE!</v>
      </c>
    </row>
    <row r="17" spans="3:6" x14ac:dyDescent="0.3">
      <c r="C17" t="str">
        <f>IFERROR(VLOOKUP(B17,Inventory!A:G,2,FALSE),"")</f>
        <v/>
      </c>
      <c r="E17" t="str">
        <f>IFERROR(VLOOKUP(B17,Inventory!A:G,4,FALSE),"")</f>
        <v/>
      </c>
      <c r="F17" t="e">
        <f t="shared" si="0"/>
        <v>#VALUE!</v>
      </c>
    </row>
    <row r="18" spans="3:6" x14ac:dyDescent="0.3">
      <c r="C18" t="str">
        <f>IFERROR(VLOOKUP(B18,Inventory!A:G,2,FALSE),"")</f>
        <v/>
      </c>
      <c r="E18" t="str">
        <f>IFERROR(VLOOKUP(B18,Inventory!A:G,4,FALSE),"")</f>
        <v/>
      </c>
      <c r="F18" t="e">
        <f t="shared" si="0"/>
        <v>#VALUE!</v>
      </c>
    </row>
    <row r="19" spans="3:6" x14ac:dyDescent="0.3">
      <c r="C19" t="str">
        <f>IFERROR(VLOOKUP(B19,Inventory!A:G,2,FALSE),"")</f>
        <v/>
      </c>
      <c r="E19" t="str">
        <f>IFERROR(VLOOKUP(B19,Inventory!A:G,4,FALSE),"")</f>
        <v/>
      </c>
      <c r="F19" t="e">
        <f t="shared" si="0"/>
        <v>#VALUE!</v>
      </c>
    </row>
    <row r="20" spans="3:6" x14ac:dyDescent="0.3">
      <c r="C20" t="str">
        <f>IFERROR(VLOOKUP(B20,Inventory!A:G,2,FALSE),"")</f>
        <v/>
      </c>
      <c r="E20" t="str">
        <f>IFERROR(VLOOKUP(B20,Inventory!A:G,4,FALSE),"")</f>
        <v/>
      </c>
      <c r="F20" t="e">
        <f t="shared" si="0"/>
        <v>#VALUE!</v>
      </c>
    </row>
    <row r="21" spans="3:6" x14ac:dyDescent="0.3">
      <c r="C21" t="str">
        <f>IFERROR(VLOOKUP(B21,Inventory!A:G,2,FALSE),"")</f>
        <v/>
      </c>
      <c r="E21" t="str">
        <f>IFERROR(VLOOKUP(B21,Inventory!A:G,4,FALSE),"")</f>
        <v/>
      </c>
      <c r="F21" t="e">
        <f t="shared" si="0"/>
        <v>#VALUE!</v>
      </c>
    </row>
    <row r="22" spans="3:6" x14ac:dyDescent="0.3">
      <c r="C22" t="str">
        <f>IFERROR(VLOOKUP(B22,Inventory!A:G,2,FALSE),"")</f>
        <v/>
      </c>
      <c r="E22" t="str">
        <f>IFERROR(VLOOKUP(B22,Inventory!A:G,4,FALSE),"")</f>
        <v/>
      </c>
      <c r="F22" t="e">
        <f t="shared" si="0"/>
        <v>#VALUE!</v>
      </c>
    </row>
    <row r="23" spans="3:6" x14ac:dyDescent="0.3">
      <c r="C23" t="str">
        <f>IFERROR(VLOOKUP(B23,Inventory!A:G,2,FALSE),"")</f>
        <v/>
      </c>
      <c r="E23" t="str">
        <f>IFERROR(VLOOKUP(B23,Inventory!A:G,4,FALSE),"")</f>
        <v/>
      </c>
      <c r="F23" t="e">
        <f t="shared" si="0"/>
        <v>#VALUE!</v>
      </c>
    </row>
    <row r="24" spans="3:6" x14ac:dyDescent="0.3">
      <c r="C24" t="str">
        <f>IFERROR(VLOOKUP(B24,Inventory!A:G,2,FALSE),"")</f>
        <v/>
      </c>
      <c r="E24" t="str">
        <f>IFERROR(VLOOKUP(B24,Inventory!A:G,4,FALSE),"")</f>
        <v/>
      </c>
      <c r="F24" t="e">
        <f t="shared" si="0"/>
        <v>#VALUE!</v>
      </c>
    </row>
    <row r="25" spans="3:6" x14ac:dyDescent="0.3">
      <c r="C25" t="str">
        <f>IFERROR(VLOOKUP(B25,Inventory!A:G,2,FALSE),"")</f>
        <v/>
      </c>
      <c r="E25" t="str">
        <f>IFERROR(VLOOKUP(B25,Inventory!A:G,4,FALSE),"")</f>
        <v/>
      </c>
      <c r="F25" t="e">
        <f t="shared" si="0"/>
        <v>#VALUE!</v>
      </c>
    </row>
    <row r="26" spans="3:6" x14ac:dyDescent="0.3">
      <c r="C26" t="str">
        <f>IFERROR(VLOOKUP(B26,Inventory!A:G,2,FALSE),"")</f>
        <v/>
      </c>
      <c r="E26" t="str">
        <f>IFERROR(VLOOKUP(B26,Inventory!A:G,4,FALSE),"")</f>
        <v/>
      </c>
      <c r="F26" t="e">
        <f t="shared" si="0"/>
        <v>#VALUE!</v>
      </c>
    </row>
    <row r="27" spans="3:6" x14ac:dyDescent="0.3">
      <c r="C27" t="str">
        <f>IFERROR(VLOOKUP(B27,Inventory!A:G,2,FALSE),"")</f>
        <v/>
      </c>
      <c r="E27" t="str">
        <f>IFERROR(VLOOKUP(B27,Inventory!A:G,4,FALSE),"")</f>
        <v/>
      </c>
      <c r="F27" t="e">
        <f t="shared" si="0"/>
        <v>#VALUE!</v>
      </c>
    </row>
    <row r="28" spans="3:6" x14ac:dyDescent="0.3">
      <c r="C28" t="str">
        <f>IFERROR(VLOOKUP(B28,Inventory!A:G,2,FALSE),"")</f>
        <v/>
      </c>
      <c r="E28" t="str">
        <f>IFERROR(VLOOKUP(B28,Inventory!A:G,4,FALSE),"")</f>
        <v/>
      </c>
      <c r="F28" t="e">
        <f t="shared" si="0"/>
        <v>#VALUE!</v>
      </c>
    </row>
    <row r="29" spans="3:6" x14ac:dyDescent="0.3">
      <c r="C29" t="str">
        <f>IFERROR(VLOOKUP(B29,Inventory!A:G,2,FALSE),"")</f>
        <v/>
      </c>
      <c r="E29" t="str">
        <f>IFERROR(VLOOKUP(B29,Inventory!A:G,4,FALSE),"")</f>
        <v/>
      </c>
      <c r="F29" t="e">
        <f t="shared" si="0"/>
        <v>#VALUE!</v>
      </c>
    </row>
    <row r="30" spans="3:6" x14ac:dyDescent="0.3">
      <c r="C30" t="str">
        <f>IFERROR(VLOOKUP(B30,Inventory!A:G,2,FALSE),"")</f>
        <v/>
      </c>
      <c r="E30" t="str">
        <f>IFERROR(VLOOKUP(B30,Inventory!A:G,4,FALSE),"")</f>
        <v/>
      </c>
      <c r="F30" t="e">
        <f t="shared" si="0"/>
        <v>#VALUE!</v>
      </c>
    </row>
    <row r="31" spans="3:6" x14ac:dyDescent="0.3">
      <c r="C31" t="str">
        <f>IFERROR(VLOOKUP(B31,Inventory!A:G,2,FALSE),"")</f>
        <v/>
      </c>
      <c r="E31" t="str">
        <f>IFERROR(VLOOKUP(B31,Inventory!A:G,4,FALSE),"")</f>
        <v/>
      </c>
      <c r="F31" t="e">
        <f t="shared" si="0"/>
        <v>#VALUE!</v>
      </c>
    </row>
    <row r="32" spans="3:6" x14ac:dyDescent="0.3">
      <c r="C32" t="str">
        <f>IFERROR(VLOOKUP(B32,Inventory!A:G,2,FALSE),"")</f>
        <v/>
      </c>
      <c r="E32" t="str">
        <f>IFERROR(VLOOKUP(B32,Inventory!A:G,4,FALSE),"")</f>
        <v/>
      </c>
      <c r="F32" t="e">
        <f t="shared" si="0"/>
        <v>#VALUE!</v>
      </c>
    </row>
    <row r="33" spans="3:6" x14ac:dyDescent="0.3">
      <c r="C33" t="str">
        <f>IFERROR(VLOOKUP(B33,Inventory!A:G,2,FALSE),"")</f>
        <v/>
      </c>
      <c r="E33" t="str">
        <f>IFERROR(VLOOKUP(B33,Inventory!A:G,4,FALSE),"")</f>
        <v/>
      </c>
      <c r="F33" t="e">
        <f t="shared" si="0"/>
        <v>#VALUE!</v>
      </c>
    </row>
    <row r="34" spans="3:6" x14ac:dyDescent="0.3">
      <c r="C34" t="str">
        <f>IFERROR(VLOOKUP(B34,Inventory!A:G,2,FALSE),"")</f>
        <v/>
      </c>
      <c r="E34" t="str">
        <f>IFERROR(VLOOKUP(B34,Inventory!A:G,4,FALSE),"")</f>
        <v/>
      </c>
      <c r="F34" t="e">
        <f t="shared" si="0"/>
        <v>#VALUE!</v>
      </c>
    </row>
    <row r="35" spans="3:6" x14ac:dyDescent="0.3">
      <c r="C35" t="str">
        <f>IFERROR(VLOOKUP(B35,Inventory!A:G,2,FALSE),"")</f>
        <v/>
      </c>
      <c r="E35" t="str">
        <f>IFERROR(VLOOKUP(B35,Inventory!A:G,4,FALSE),"")</f>
        <v/>
      </c>
      <c r="F35" t="e">
        <f t="shared" si="0"/>
        <v>#VALUE!</v>
      </c>
    </row>
    <row r="36" spans="3:6" x14ac:dyDescent="0.3">
      <c r="C36" t="str">
        <f>IFERROR(VLOOKUP(B36,Inventory!A:G,2,FALSE),"")</f>
        <v/>
      </c>
      <c r="E36" t="str">
        <f>IFERROR(VLOOKUP(B36,Inventory!A:G,4,FALSE),"")</f>
        <v/>
      </c>
      <c r="F36" t="e">
        <f t="shared" si="0"/>
        <v>#VALUE!</v>
      </c>
    </row>
    <row r="37" spans="3:6" x14ac:dyDescent="0.3">
      <c r="C37" t="str">
        <f>IFERROR(VLOOKUP(B37,Inventory!A:G,2,FALSE),"")</f>
        <v/>
      </c>
      <c r="E37" t="str">
        <f>IFERROR(VLOOKUP(B37,Inventory!A:G,4,FALSE),"")</f>
        <v/>
      </c>
      <c r="F37" t="e">
        <f t="shared" si="0"/>
        <v>#VALUE!</v>
      </c>
    </row>
    <row r="38" spans="3:6" x14ac:dyDescent="0.3">
      <c r="C38" t="str">
        <f>IFERROR(VLOOKUP(B38,Inventory!A:G,2,FALSE),"")</f>
        <v/>
      </c>
      <c r="E38" t="str">
        <f>IFERROR(VLOOKUP(B38,Inventory!A:G,4,FALSE),"")</f>
        <v/>
      </c>
      <c r="F38" t="e">
        <f t="shared" si="0"/>
        <v>#VALUE!</v>
      </c>
    </row>
    <row r="39" spans="3:6" x14ac:dyDescent="0.3">
      <c r="C39" t="str">
        <f>IFERROR(VLOOKUP(B39,Inventory!A:G,2,FALSE),"")</f>
        <v/>
      </c>
      <c r="E39" t="str">
        <f>IFERROR(VLOOKUP(B39,Inventory!A:G,4,FALSE),"")</f>
        <v/>
      </c>
      <c r="F39" t="e">
        <f t="shared" si="0"/>
        <v>#VALUE!</v>
      </c>
    </row>
    <row r="40" spans="3:6" x14ac:dyDescent="0.3">
      <c r="C40" t="str">
        <f>IFERROR(VLOOKUP(B40,Inventory!A:G,2,FALSE),"")</f>
        <v/>
      </c>
      <c r="E40" t="str">
        <f>IFERROR(VLOOKUP(B40,Inventory!A:G,4,FALSE),"")</f>
        <v/>
      </c>
      <c r="F40" t="e">
        <f t="shared" si="0"/>
        <v>#VALUE!</v>
      </c>
    </row>
    <row r="41" spans="3:6" x14ac:dyDescent="0.3">
      <c r="C41" t="str">
        <f>IFERROR(VLOOKUP(B41,Inventory!A:G,2,FALSE),"")</f>
        <v/>
      </c>
      <c r="E41" t="str">
        <f>IFERROR(VLOOKUP(B41,Inventory!A:G,4,FALSE),"")</f>
        <v/>
      </c>
      <c r="F41" t="e">
        <f t="shared" si="0"/>
        <v>#VALUE!</v>
      </c>
    </row>
    <row r="42" spans="3:6" x14ac:dyDescent="0.3">
      <c r="C42" t="str">
        <f>IFERROR(VLOOKUP(B42,Inventory!A:G,2,FALSE),"")</f>
        <v/>
      </c>
      <c r="E42" t="str">
        <f>IFERROR(VLOOKUP(B42,Inventory!A:G,4,FALSE),"")</f>
        <v/>
      </c>
      <c r="F42" t="e">
        <f t="shared" si="0"/>
        <v>#VALUE!</v>
      </c>
    </row>
    <row r="43" spans="3:6" x14ac:dyDescent="0.3">
      <c r="C43" t="str">
        <f>IFERROR(VLOOKUP(B43,Inventory!A:G,2,FALSE),"")</f>
        <v/>
      </c>
      <c r="E43" t="str">
        <f>IFERROR(VLOOKUP(B43,Inventory!A:G,4,FALSE),"")</f>
        <v/>
      </c>
      <c r="F43" t="e">
        <f t="shared" si="0"/>
        <v>#VALUE!</v>
      </c>
    </row>
    <row r="44" spans="3:6" x14ac:dyDescent="0.3">
      <c r="C44" t="str">
        <f>IFERROR(VLOOKUP(B44,Inventory!A:G,2,FALSE),"")</f>
        <v/>
      </c>
      <c r="E44" t="str">
        <f>IFERROR(VLOOKUP(B44,Inventory!A:G,4,FALSE),"")</f>
        <v/>
      </c>
      <c r="F44" t="e">
        <f t="shared" si="0"/>
        <v>#VALUE!</v>
      </c>
    </row>
    <row r="45" spans="3:6" x14ac:dyDescent="0.3">
      <c r="C45" t="str">
        <f>IFERROR(VLOOKUP(B45,Inventory!A:G,2,FALSE),"")</f>
        <v/>
      </c>
      <c r="E45" t="str">
        <f>IFERROR(VLOOKUP(B45,Inventory!A:G,4,FALSE),"")</f>
        <v/>
      </c>
      <c r="F45" t="e">
        <f t="shared" si="0"/>
        <v>#VALUE!</v>
      </c>
    </row>
    <row r="46" spans="3:6" x14ac:dyDescent="0.3">
      <c r="C46" t="str">
        <f>IFERROR(VLOOKUP(B46,Inventory!A:G,2,FALSE),"")</f>
        <v/>
      </c>
      <c r="E46" t="str">
        <f>IFERROR(VLOOKUP(B46,Inventory!A:G,4,FALSE),"")</f>
        <v/>
      </c>
      <c r="F46" t="e">
        <f t="shared" si="0"/>
        <v>#VALUE!</v>
      </c>
    </row>
    <row r="47" spans="3:6" x14ac:dyDescent="0.3">
      <c r="C47" t="str">
        <f>IFERROR(VLOOKUP(B47,Inventory!A:G,2,FALSE),"")</f>
        <v/>
      </c>
      <c r="E47" t="str">
        <f>IFERROR(VLOOKUP(B47,Inventory!A:G,4,FALSE),"")</f>
        <v/>
      </c>
      <c r="F47" t="e">
        <f t="shared" si="0"/>
        <v>#VALUE!</v>
      </c>
    </row>
    <row r="48" spans="3:6" x14ac:dyDescent="0.3">
      <c r="C48" t="str">
        <f>IFERROR(VLOOKUP(B48,Inventory!A:G,2,FALSE),"")</f>
        <v/>
      </c>
      <c r="E48" t="str">
        <f>IFERROR(VLOOKUP(B48,Inventory!A:G,4,FALSE),"")</f>
        <v/>
      </c>
      <c r="F48" t="e">
        <f t="shared" si="0"/>
        <v>#VALUE!</v>
      </c>
    </row>
    <row r="49" spans="3:6" x14ac:dyDescent="0.3">
      <c r="C49" t="str">
        <f>IFERROR(VLOOKUP(B49,Inventory!A:G,2,FALSE),"")</f>
        <v/>
      </c>
      <c r="E49" t="str">
        <f>IFERROR(VLOOKUP(B49,Inventory!A:G,4,FALSE),"")</f>
        <v/>
      </c>
      <c r="F49" t="e">
        <f t="shared" si="0"/>
        <v>#VALUE!</v>
      </c>
    </row>
    <row r="50" spans="3:6" x14ac:dyDescent="0.3">
      <c r="C50" t="str">
        <f>IFERROR(VLOOKUP(B50,Inventory!A:G,2,FALSE),"")</f>
        <v/>
      </c>
      <c r="E50" t="str">
        <f>IFERROR(VLOOKUP(B50,Inventory!A:G,4,FALSE),"")</f>
        <v/>
      </c>
      <c r="F50" t="e">
        <f t="shared" si="0"/>
        <v>#VALUE!</v>
      </c>
    </row>
    <row r="51" spans="3:6" x14ac:dyDescent="0.3">
      <c r="C51" t="str">
        <f>IFERROR(VLOOKUP(B51,Inventory!A:G,2,FALSE),"")</f>
        <v/>
      </c>
      <c r="E51" t="str">
        <f>IFERROR(VLOOKUP(B51,Inventory!A:G,4,FALSE),"")</f>
        <v/>
      </c>
      <c r="F51" t="e">
        <f t="shared" si="0"/>
        <v>#VALUE!</v>
      </c>
    </row>
    <row r="52" spans="3:6" x14ac:dyDescent="0.3">
      <c r="C52" t="str">
        <f>IFERROR(VLOOKUP(B52,Inventory!A:G,2,FALSE),"")</f>
        <v/>
      </c>
      <c r="E52" t="str">
        <f>IFERROR(VLOOKUP(B52,Inventory!A:G,4,FALSE),"")</f>
        <v/>
      </c>
      <c r="F52" t="e">
        <f t="shared" si="0"/>
        <v>#VALUE!</v>
      </c>
    </row>
    <row r="53" spans="3:6" x14ac:dyDescent="0.3">
      <c r="C53" t="str">
        <f>IFERROR(VLOOKUP(B53,Inventory!A:G,2,FALSE),"")</f>
        <v/>
      </c>
      <c r="E53" t="str">
        <f>IFERROR(VLOOKUP(B53,Inventory!A:G,4,FALSE),"")</f>
        <v/>
      </c>
      <c r="F53" t="e">
        <f t="shared" si="0"/>
        <v>#VALUE!</v>
      </c>
    </row>
    <row r="54" spans="3:6" x14ac:dyDescent="0.3">
      <c r="C54" t="str">
        <f>IFERROR(VLOOKUP(B54,Inventory!A:G,2,FALSE),"")</f>
        <v/>
      </c>
      <c r="E54" t="str">
        <f>IFERROR(VLOOKUP(B54,Inventory!A:G,4,FALSE),"")</f>
        <v/>
      </c>
      <c r="F54" t="e">
        <f t="shared" si="0"/>
        <v>#VALUE!</v>
      </c>
    </row>
    <row r="55" spans="3:6" x14ac:dyDescent="0.3">
      <c r="C55" t="str">
        <f>IFERROR(VLOOKUP(B55,Inventory!A:G,2,FALSE),"")</f>
        <v/>
      </c>
      <c r="E55" t="str">
        <f>IFERROR(VLOOKUP(B55,Inventory!A:G,4,FALSE),"")</f>
        <v/>
      </c>
      <c r="F55" t="e">
        <f t="shared" si="0"/>
        <v>#VALUE!</v>
      </c>
    </row>
    <row r="56" spans="3:6" x14ac:dyDescent="0.3">
      <c r="C56" t="str">
        <f>IFERROR(VLOOKUP(B56,Inventory!A:G,2,FALSE),"")</f>
        <v/>
      </c>
      <c r="E56" t="str">
        <f>IFERROR(VLOOKUP(B56,Inventory!A:G,4,FALSE),"")</f>
        <v/>
      </c>
      <c r="F56" t="e">
        <f t="shared" si="0"/>
        <v>#VALUE!</v>
      </c>
    </row>
    <row r="57" spans="3:6" x14ac:dyDescent="0.3">
      <c r="C57" t="str">
        <f>IFERROR(VLOOKUP(B57,Inventory!A:G,2,FALSE),"")</f>
        <v/>
      </c>
      <c r="E57" t="str">
        <f>IFERROR(VLOOKUP(B57,Inventory!A:G,4,FALSE),"")</f>
        <v/>
      </c>
      <c r="F57" t="e">
        <f t="shared" si="0"/>
        <v>#VALUE!</v>
      </c>
    </row>
    <row r="58" spans="3:6" x14ac:dyDescent="0.3">
      <c r="C58" t="str">
        <f>IFERROR(VLOOKUP(B58,Inventory!A:G,2,FALSE),"")</f>
        <v/>
      </c>
      <c r="E58" t="str">
        <f>IFERROR(VLOOKUP(B58,Inventory!A:G,4,FALSE),"")</f>
        <v/>
      </c>
      <c r="F58" t="e">
        <f t="shared" si="0"/>
        <v>#VALUE!</v>
      </c>
    </row>
    <row r="59" spans="3:6" x14ac:dyDescent="0.3">
      <c r="C59" t="str">
        <f>IFERROR(VLOOKUP(B59,Inventory!A:G,2,FALSE),"")</f>
        <v/>
      </c>
      <c r="E59" t="str">
        <f>IFERROR(VLOOKUP(B59,Inventory!A:G,4,FALSE),"")</f>
        <v/>
      </c>
      <c r="F59" t="e">
        <f t="shared" si="0"/>
        <v>#VALUE!</v>
      </c>
    </row>
    <row r="60" spans="3:6" x14ac:dyDescent="0.3">
      <c r="C60" t="str">
        <f>IFERROR(VLOOKUP(B60,Inventory!A:G,2,FALSE),"")</f>
        <v/>
      </c>
      <c r="E60" t="str">
        <f>IFERROR(VLOOKUP(B60,Inventory!A:G,4,FALSE),"")</f>
        <v/>
      </c>
      <c r="F60" t="e">
        <f t="shared" si="0"/>
        <v>#VALUE!</v>
      </c>
    </row>
    <row r="61" spans="3:6" x14ac:dyDescent="0.3">
      <c r="C61" t="str">
        <f>IFERROR(VLOOKUP(B61,Inventory!A:G,2,FALSE),"")</f>
        <v/>
      </c>
      <c r="E61" t="str">
        <f>IFERROR(VLOOKUP(B61,Inventory!A:G,4,FALSE),"")</f>
        <v/>
      </c>
      <c r="F61" t="e">
        <f t="shared" si="0"/>
        <v>#VALUE!</v>
      </c>
    </row>
    <row r="62" spans="3:6" x14ac:dyDescent="0.3">
      <c r="C62" t="str">
        <f>IFERROR(VLOOKUP(B62,Inventory!A:G,2,FALSE),"")</f>
        <v/>
      </c>
      <c r="E62" t="str">
        <f>IFERROR(VLOOKUP(B62,Inventory!A:G,4,FALSE),"")</f>
        <v/>
      </c>
      <c r="F62" t="e">
        <f t="shared" si="0"/>
        <v>#VALUE!</v>
      </c>
    </row>
    <row r="63" spans="3:6" x14ac:dyDescent="0.3">
      <c r="C63" t="str">
        <f>IFERROR(VLOOKUP(B63,Inventory!A:G,2,FALSE),"")</f>
        <v/>
      </c>
      <c r="E63" t="str">
        <f>IFERROR(VLOOKUP(B63,Inventory!A:G,4,FALSE),"")</f>
        <v/>
      </c>
      <c r="F63" t="e">
        <f t="shared" si="0"/>
        <v>#VALUE!</v>
      </c>
    </row>
    <row r="64" spans="3:6" x14ac:dyDescent="0.3">
      <c r="C64" t="str">
        <f>IFERROR(VLOOKUP(B64,Inventory!A:G,2,FALSE),"")</f>
        <v/>
      </c>
      <c r="E64" t="str">
        <f>IFERROR(VLOOKUP(B64,Inventory!A:G,4,FALSE),"")</f>
        <v/>
      </c>
      <c r="F64" t="e">
        <f t="shared" si="0"/>
        <v>#VALUE!</v>
      </c>
    </row>
    <row r="65" spans="3:6" x14ac:dyDescent="0.3">
      <c r="C65" t="str">
        <f>IFERROR(VLOOKUP(B65,Inventory!A:G,2,FALSE),"")</f>
        <v/>
      </c>
      <c r="E65" t="str">
        <f>IFERROR(VLOOKUP(B65,Inventory!A:G,4,FALSE),"")</f>
        <v/>
      </c>
      <c r="F65" t="e">
        <f t="shared" si="0"/>
        <v>#VALUE!</v>
      </c>
    </row>
    <row r="66" spans="3:6" x14ac:dyDescent="0.3">
      <c r="C66" t="str">
        <f>IFERROR(VLOOKUP(B66,Inventory!A:G,2,FALSE),"")</f>
        <v/>
      </c>
      <c r="E66" t="str">
        <f>IFERROR(VLOOKUP(B66,Inventory!A:G,4,FALSE),"")</f>
        <v/>
      </c>
      <c r="F66" t="e">
        <f t="shared" ref="F66:F129" si="1">D66*E66</f>
        <v>#VALUE!</v>
      </c>
    </row>
    <row r="67" spans="3:6" x14ac:dyDescent="0.3">
      <c r="C67" t="str">
        <f>IFERROR(VLOOKUP(B67,Inventory!A:G,2,FALSE),"")</f>
        <v/>
      </c>
      <c r="E67" t="str">
        <f>IFERROR(VLOOKUP(B67,Inventory!A:G,4,FALSE),"")</f>
        <v/>
      </c>
      <c r="F67" t="e">
        <f t="shared" si="1"/>
        <v>#VALUE!</v>
      </c>
    </row>
    <row r="68" spans="3:6" x14ac:dyDescent="0.3">
      <c r="C68" t="str">
        <f>IFERROR(VLOOKUP(B68,Inventory!A:G,2,FALSE),"")</f>
        <v/>
      </c>
      <c r="E68" t="str">
        <f>IFERROR(VLOOKUP(B68,Inventory!A:G,4,FALSE),"")</f>
        <v/>
      </c>
      <c r="F68" t="e">
        <f t="shared" si="1"/>
        <v>#VALUE!</v>
      </c>
    </row>
    <row r="69" spans="3:6" x14ac:dyDescent="0.3">
      <c r="C69" t="str">
        <f>IFERROR(VLOOKUP(B69,Inventory!A:G,2,FALSE),"")</f>
        <v/>
      </c>
      <c r="E69" t="str">
        <f>IFERROR(VLOOKUP(B69,Inventory!A:G,4,FALSE),"")</f>
        <v/>
      </c>
      <c r="F69" t="e">
        <f t="shared" si="1"/>
        <v>#VALUE!</v>
      </c>
    </row>
    <row r="70" spans="3:6" x14ac:dyDescent="0.3">
      <c r="C70" t="str">
        <f>IFERROR(VLOOKUP(B70,Inventory!A:G,2,FALSE),"")</f>
        <v/>
      </c>
      <c r="E70" t="str">
        <f>IFERROR(VLOOKUP(B70,Inventory!A:G,4,FALSE),"")</f>
        <v/>
      </c>
      <c r="F70" t="e">
        <f t="shared" si="1"/>
        <v>#VALUE!</v>
      </c>
    </row>
    <row r="71" spans="3:6" x14ac:dyDescent="0.3">
      <c r="C71" t="str">
        <f>IFERROR(VLOOKUP(B71,Inventory!A:G,2,FALSE),"")</f>
        <v/>
      </c>
      <c r="E71" t="str">
        <f>IFERROR(VLOOKUP(B71,Inventory!A:G,4,FALSE),"")</f>
        <v/>
      </c>
      <c r="F71" t="e">
        <f t="shared" si="1"/>
        <v>#VALUE!</v>
      </c>
    </row>
    <row r="72" spans="3:6" x14ac:dyDescent="0.3">
      <c r="C72" t="str">
        <f>IFERROR(VLOOKUP(B72,Inventory!A:G,2,FALSE),"")</f>
        <v/>
      </c>
      <c r="E72" t="str">
        <f>IFERROR(VLOOKUP(B72,Inventory!A:G,4,FALSE),"")</f>
        <v/>
      </c>
      <c r="F72" t="e">
        <f t="shared" si="1"/>
        <v>#VALUE!</v>
      </c>
    </row>
    <row r="73" spans="3:6" x14ac:dyDescent="0.3">
      <c r="C73" t="str">
        <f>IFERROR(VLOOKUP(B73,Inventory!A:G,2,FALSE),"")</f>
        <v/>
      </c>
      <c r="E73" t="str">
        <f>IFERROR(VLOOKUP(B73,Inventory!A:G,4,FALSE),"")</f>
        <v/>
      </c>
      <c r="F73" t="e">
        <f t="shared" si="1"/>
        <v>#VALUE!</v>
      </c>
    </row>
    <row r="74" spans="3:6" x14ac:dyDescent="0.3">
      <c r="C74" t="str">
        <f>IFERROR(VLOOKUP(B74,Inventory!A:G,2,FALSE),"")</f>
        <v/>
      </c>
      <c r="E74" t="str">
        <f>IFERROR(VLOOKUP(B74,Inventory!A:G,4,FALSE),"")</f>
        <v/>
      </c>
      <c r="F74" t="e">
        <f t="shared" si="1"/>
        <v>#VALUE!</v>
      </c>
    </row>
    <row r="75" spans="3:6" x14ac:dyDescent="0.3">
      <c r="C75" t="str">
        <f>IFERROR(VLOOKUP(B75,Inventory!A:G,2,FALSE),"")</f>
        <v/>
      </c>
      <c r="E75" t="str">
        <f>IFERROR(VLOOKUP(B75,Inventory!A:G,4,FALSE),"")</f>
        <v/>
      </c>
      <c r="F75" t="e">
        <f t="shared" si="1"/>
        <v>#VALUE!</v>
      </c>
    </row>
    <row r="76" spans="3:6" x14ac:dyDescent="0.3">
      <c r="C76" t="str">
        <f>IFERROR(VLOOKUP(B76,Inventory!A:G,2,FALSE),"")</f>
        <v/>
      </c>
      <c r="E76" t="str">
        <f>IFERROR(VLOOKUP(B76,Inventory!A:G,4,FALSE),"")</f>
        <v/>
      </c>
      <c r="F76" t="e">
        <f t="shared" si="1"/>
        <v>#VALUE!</v>
      </c>
    </row>
    <row r="77" spans="3:6" x14ac:dyDescent="0.3">
      <c r="C77" t="str">
        <f>IFERROR(VLOOKUP(B77,Inventory!A:G,2,FALSE),"")</f>
        <v/>
      </c>
      <c r="E77" t="str">
        <f>IFERROR(VLOOKUP(B77,Inventory!A:G,4,FALSE),"")</f>
        <v/>
      </c>
      <c r="F77" t="e">
        <f t="shared" si="1"/>
        <v>#VALUE!</v>
      </c>
    </row>
    <row r="78" spans="3:6" x14ac:dyDescent="0.3">
      <c r="C78" t="str">
        <f>IFERROR(VLOOKUP(B78,Inventory!A:G,2,FALSE),"")</f>
        <v/>
      </c>
      <c r="E78" t="str">
        <f>IFERROR(VLOOKUP(B78,Inventory!A:G,4,FALSE),"")</f>
        <v/>
      </c>
      <c r="F78" t="e">
        <f t="shared" si="1"/>
        <v>#VALUE!</v>
      </c>
    </row>
    <row r="79" spans="3:6" x14ac:dyDescent="0.3">
      <c r="C79" t="str">
        <f>IFERROR(VLOOKUP(B79,Inventory!A:G,2,FALSE),"")</f>
        <v/>
      </c>
      <c r="E79" t="str">
        <f>IFERROR(VLOOKUP(B79,Inventory!A:G,4,FALSE),"")</f>
        <v/>
      </c>
      <c r="F79" t="e">
        <f t="shared" si="1"/>
        <v>#VALUE!</v>
      </c>
    </row>
    <row r="80" spans="3:6" x14ac:dyDescent="0.3">
      <c r="C80" t="str">
        <f>IFERROR(VLOOKUP(B80,Inventory!A:G,2,FALSE),"")</f>
        <v/>
      </c>
      <c r="E80" t="str">
        <f>IFERROR(VLOOKUP(B80,Inventory!A:G,4,FALSE),"")</f>
        <v/>
      </c>
      <c r="F80" t="e">
        <f t="shared" si="1"/>
        <v>#VALUE!</v>
      </c>
    </row>
    <row r="81" spans="3:6" x14ac:dyDescent="0.3">
      <c r="C81" t="str">
        <f>IFERROR(VLOOKUP(B81,Inventory!A:G,2,FALSE),"")</f>
        <v/>
      </c>
      <c r="E81" t="str">
        <f>IFERROR(VLOOKUP(B81,Inventory!A:G,4,FALSE),"")</f>
        <v/>
      </c>
      <c r="F81" t="e">
        <f t="shared" si="1"/>
        <v>#VALUE!</v>
      </c>
    </row>
    <row r="82" spans="3:6" x14ac:dyDescent="0.3">
      <c r="C82" t="str">
        <f>IFERROR(VLOOKUP(B82,Inventory!A:G,2,FALSE),"")</f>
        <v/>
      </c>
      <c r="E82" t="str">
        <f>IFERROR(VLOOKUP(B82,Inventory!A:G,4,FALSE),"")</f>
        <v/>
      </c>
      <c r="F82" t="e">
        <f t="shared" si="1"/>
        <v>#VALUE!</v>
      </c>
    </row>
    <row r="83" spans="3:6" x14ac:dyDescent="0.3">
      <c r="C83" t="str">
        <f>IFERROR(VLOOKUP(B83,Inventory!A:G,2,FALSE),"")</f>
        <v/>
      </c>
      <c r="E83" t="str">
        <f>IFERROR(VLOOKUP(B83,Inventory!A:G,4,FALSE),"")</f>
        <v/>
      </c>
      <c r="F83" t="e">
        <f t="shared" si="1"/>
        <v>#VALUE!</v>
      </c>
    </row>
    <row r="84" spans="3:6" x14ac:dyDescent="0.3">
      <c r="C84" t="str">
        <f>IFERROR(VLOOKUP(B84,Inventory!A:G,2,FALSE),"")</f>
        <v/>
      </c>
      <c r="E84" t="str">
        <f>IFERROR(VLOOKUP(B84,Inventory!A:G,4,FALSE),"")</f>
        <v/>
      </c>
      <c r="F84" t="e">
        <f t="shared" si="1"/>
        <v>#VALUE!</v>
      </c>
    </row>
    <row r="85" spans="3:6" x14ac:dyDescent="0.3">
      <c r="C85" t="str">
        <f>IFERROR(VLOOKUP(B85,Inventory!A:G,2,FALSE),"")</f>
        <v/>
      </c>
      <c r="E85" t="str">
        <f>IFERROR(VLOOKUP(B85,Inventory!A:G,4,FALSE),"")</f>
        <v/>
      </c>
      <c r="F85" t="e">
        <f t="shared" si="1"/>
        <v>#VALUE!</v>
      </c>
    </row>
    <row r="86" spans="3:6" x14ac:dyDescent="0.3">
      <c r="C86" t="str">
        <f>IFERROR(VLOOKUP(B86,Inventory!A:G,2,FALSE),"")</f>
        <v/>
      </c>
      <c r="E86" t="str">
        <f>IFERROR(VLOOKUP(B86,Inventory!A:G,4,FALSE),"")</f>
        <v/>
      </c>
      <c r="F86" t="e">
        <f t="shared" si="1"/>
        <v>#VALUE!</v>
      </c>
    </row>
    <row r="87" spans="3:6" x14ac:dyDescent="0.3">
      <c r="C87" t="str">
        <f>IFERROR(VLOOKUP(B87,Inventory!A:G,2,FALSE),"")</f>
        <v/>
      </c>
      <c r="E87" t="str">
        <f>IFERROR(VLOOKUP(B87,Inventory!A:G,4,FALSE),"")</f>
        <v/>
      </c>
      <c r="F87" t="e">
        <f t="shared" si="1"/>
        <v>#VALUE!</v>
      </c>
    </row>
    <row r="88" spans="3:6" x14ac:dyDescent="0.3">
      <c r="C88" t="str">
        <f>IFERROR(VLOOKUP(B88,Inventory!A:G,2,FALSE),"")</f>
        <v/>
      </c>
      <c r="E88" t="str">
        <f>IFERROR(VLOOKUP(B88,Inventory!A:G,4,FALSE),"")</f>
        <v/>
      </c>
      <c r="F88" t="e">
        <f t="shared" si="1"/>
        <v>#VALUE!</v>
      </c>
    </row>
    <row r="89" spans="3:6" x14ac:dyDescent="0.3">
      <c r="C89" t="str">
        <f>IFERROR(VLOOKUP(B89,Inventory!A:G,2,FALSE),"")</f>
        <v/>
      </c>
      <c r="E89" t="str">
        <f>IFERROR(VLOOKUP(B89,Inventory!A:G,4,FALSE),"")</f>
        <v/>
      </c>
      <c r="F89" t="e">
        <f t="shared" si="1"/>
        <v>#VALUE!</v>
      </c>
    </row>
    <row r="90" spans="3:6" x14ac:dyDescent="0.3">
      <c r="C90" t="str">
        <f>IFERROR(VLOOKUP(B90,Inventory!A:G,2,FALSE),"")</f>
        <v/>
      </c>
      <c r="E90" t="str">
        <f>IFERROR(VLOOKUP(B90,Inventory!A:G,4,FALSE),"")</f>
        <v/>
      </c>
      <c r="F90" t="e">
        <f t="shared" si="1"/>
        <v>#VALUE!</v>
      </c>
    </row>
    <row r="91" spans="3:6" x14ac:dyDescent="0.3">
      <c r="C91" t="str">
        <f>IFERROR(VLOOKUP(B91,Inventory!A:G,2,FALSE),"")</f>
        <v/>
      </c>
      <c r="E91" t="str">
        <f>IFERROR(VLOOKUP(B91,Inventory!A:G,4,FALSE),"")</f>
        <v/>
      </c>
      <c r="F91" t="e">
        <f t="shared" si="1"/>
        <v>#VALUE!</v>
      </c>
    </row>
    <row r="92" spans="3:6" x14ac:dyDescent="0.3">
      <c r="C92" t="str">
        <f>IFERROR(VLOOKUP(B92,Inventory!A:G,2,FALSE),"")</f>
        <v/>
      </c>
      <c r="E92" t="str">
        <f>IFERROR(VLOOKUP(B92,Inventory!A:G,4,FALSE),"")</f>
        <v/>
      </c>
      <c r="F92" t="e">
        <f t="shared" si="1"/>
        <v>#VALUE!</v>
      </c>
    </row>
    <row r="93" spans="3:6" x14ac:dyDescent="0.3">
      <c r="C93" t="str">
        <f>IFERROR(VLOOKUP(B93,Inventory!A:G,2,FALSE),"")</f>
        <v/>
      </c>
      <c r="E93" t="str">
        <f>IFERROR(VLOOKUP(B93,Inventory!A:G,4,FALSE),"")</f>
        <v/>
      </c>
      <c r="F93" t="e">
        <f t="shared" si="1"/>
        <v>#VALUE!</v>
      </c>
    </row>
    <row r="94" spans="3:6" x14ac:dyDescent="0.3">
      <c r="C94" t="str">
        <f>IFERROR(VLOOKUP(B94,Inventory!A:G,2,FALSE),"")</f>
        <v/>
      </c>
      <c r="E94" t="str">
        <f>IFERROR(VLOOKUP(B94,Inventory!A:G,4,FALSE),"")</f>
        <v/>
      </c>
      <c r="F94" t="e">
        <f t="shared" si="1"/>
        <v>#VALUE!</v>
      </c>
    </row>
    <row r="95" spans="3:6" x14ac:dyDescent="0.3">
      <c r="C95" t="str">
        <f>IFERROR(VLOOKUP(B95,Inventory!A:G,2,FALSE),"")</f>
        <v/>
      </c>
      <c r="E95" t="str">
        <f>IFERROR(VLOOKUP(B95,Inventory!A:G,4,FALSE),"")</f>
        <v/>
      </c>
      <c r="F95" t="e">
        <f t="shared" si="1"/>
        <v>#VALUE!</v>
      </c>
    </row>
    <row r="96" spans="3:6" x14ac:dyDescent="0.3">
      <c r="C96" t="str">
        <f>IFERROR(VLOOKUP(B96,Inventory!A:G,2,FALSE),"")</f>
        <v/>
      </c>
      <c r="E96" t="str">
        <f>IFERROR(VLOOKUP(B96,Inventory!A:G,4,FALSE),"")</f>
        <v/>
      </c>
      <c r="F96" t="e">
        <f t="shared" si="1"/>
        <v>#VALUE!</v>
      </c>
    </row>
    <row r="97" spans="3:6" x14ac:dyDescent="0.3">
      <c r="C97" t="str">
        <f>IFERROR(VLOOKUP(B97,Inventory!A:G,2,FALSE),"")</f>
        <v/>
      </c>
      <c r="E97" t="str">
        <f>IFERROR(VLOOKUP(B97,Inventory!A:G,4,FALSE),"")</f>
        <v/>
      </c>
      <c r="F97" t="e">
        <f t="shared" si="1"/>
        <v>#VALUE!</v>
      </c>
    </row>
    <row r="98" spans="3:6" x14ac:dyDescent="0.3">
      <c r="C98" t="str">
        <f>IFERROR(VLOOKUP(B98,Inventory!A:G,2,FALSE),"")</f>
        <v/>
      </c>
      <c r="E98" t="str">
        <f>IFERROR(VLOOKUP(B98,Inventory!A:G,4,FALSE),"")</f>
        <v/>
      </c>
      <c r="F98" t="e">
        <f t="shared" si="1"/>
        <v>#VALUE!</v>
      </c>
    </row>
    <row r="99" spans="3:6" x14ac:dyDescent="0.3">
      <c r="C99" t="str">
        <f>IFERROR(VLOOKUP(B99,Inventory!A:G,2,FALSE),"")</f>
        <v/>
      </c>
      <c r="E99" t="str">
        <f>IFERROR(VLOOKUP(B99,Inventory!A:G,4,FALSE),"")</f>
        <v/>
      </c>
      <c r="F99" t="e">
        <f t="shared" si="1"/>
        <v>#VALUE!</v>
      </c>
    </row>
    <row r="100" spans="3:6" x14ac:dyDescent="0.3">
      <c r="C100" t="str">
        <f>IFERROR(VLOOKUP(B100,Inventory!A:G,2,FALSE),"")</f>
        <v/>
      </c>
      <c r="E100" t="str">
        <f>IFERROR(VLOOKUP(B100,Inventory!A:G,4,FALSE),"")</f>
        <v/>
      </c>
      <c r="F100" t="e">
        <f t="shared" si="1"/>
        <v>#VALUE!</v>
      </c>
    </row>
    <row r="101" spans="3:6" x14ac:dyDescent="0.3">
      <c r="C101" t="str">
        <f>IFERROR(VLOOKUP(B101,Inventory!A:G,2,FALSE),"")</f>
        <v/>
      </c>
      <c r="E101" t="str">
        <f>IFERROR(VLOOKUP(B101,Inventory!A:G,4,FALSE),"")</f>
        <v/>
      </c>
      <c r="F101" t="e">
        <f t="shared" si="1"/>
        <v>#VALUE!</v>
      </c>
    </row>
    <row r="102" spans="3:6" x14ac:dyDescent="0.3">
      <c r="C102" t="str">
        <f>IFERROR(VLOOKUP(B102,Inventory!A:G,2,FALSE),"")</f>
        <v/>
      </c>
      <c r="E102" t="str">
        <f>IFERROR(VLOOKUP(B102,Inventory!A:G,4,FALSE),"")</f>
        <v/>
      </c>
      <c r="F102" t="e">
        <f t="shared" si="1"/>
        <v>#VALUE!</v>
      </c>
    </row>
    <row r="103" spans="3:6" x14ac:dyDescent="0.3">
      <c r="C103" t="str">
        <f>IFERROR(VLOOKUP(B103,Inventory!A:G,2,FALSE),"")</f>
        <v/>
      </c>
      <c r="E103" t="str">
        <f>IFERROR(VLOOKUP(B103,Inventory!A:G,4,FALSE),"")</f>
        <v/>
      </c>
      <c r="F103" t="e">
        <f t="shared" si="1"/>
        <v>#VALUE!</v>
      </c>
    </row>
    <row r="104" spans="3:6" x14ac:dyDescent="0.3">
      <c r="C104" t="str">
        <f>IFERROR(VLOOKUP(B104,Inventory!A:G,2,FALSE),"")</f>
        <v/>
      </c>
      <c r="E104" t="str">
        <f>IFERROR(VLOOKUP(B104,Inventory!A:G,4,FALSE),"")</f>
        <v/>
      </c>
      <c r="F104" t="e">
        <f t="shared" si="1"/>
        <v>#VALUE!</v>
      </c>
    </row>
    <row r="105" spans="3:6" x14ac:dyDescent="0.3">
      <c r="C105" t="str">
        <f>IFERROR(VLOOKUP(B105,Inventory!A:G,2,FALSE),"")</f>
        <v/>
      </c>
      <c r="E105" t="str">
        <f>IFERROR(VLOOKUP(B105,Inventory!A:G,4,FALSE),"")</f>
        <v/>
      </c>
      <c r="F105" t="e">
        <f t="shared" si="1"/>
        <v>#VALUE!</v>
      </c>
    </row>
    <row r="106" spans="3:6" x14ac:dyDescent="0.3">
      <c r="C106" t="str">
        <f>IFERROR(VLOOKUP(B106,Inventory!A:G,2,FALSE),"")</f>
        <v/>
      </c>
      <c r="E106" t="str">
        <f>IFERROR(VLOOKUP(B106,Inventory!A:G,4,FALSE),"")</f>
        <v/>
      </c>
      <c r="F106" t="e">
        <f t="shared" si="1"/>
        <v>#VALUE!</v>
      </c>
    </row>
    <row r="107" spans="3:6" x14ac:dyDescent="0.3">
      <c r="C107" t="str">
        <f>IFERROR(VLOOKUP(B107,Inventory!A:G,2,FALSE),"")</f>
        <v/>
      </c>
      <c r="E107" t="str">
        <f>IFERROR(VLOOKUP(B107,Inventory!A:G,4,FALSE),"")</f>
        <v/>
      </c>
      <c r="F107" t="e">
        <f t="shared" si="1"/>
        <v>#VALUE!</v>
      </c>
    </row>
    <row r="108" spans="3:6" x14ac:dyDescent="0.3">
      <c r="C108" t="str">
        <f>IFERROR(VLOOKUP(B108,Inventory!A:G,2,FALSE),"")</f>
        <v/>
      </c>
      <c r="E108" t="str">
        <f>IFERROR(VLOOKUP(B108,Inventory!A:G,4,FALSE),"")</f>
        <v/>
      </c>
      <c r="F108" t="e">
        <f t="shared" si="1"/>
        <v>#VALUE!</v>
      </c>
    </row>
    <row r="109" spans="3:6" x14ac:dyDescent="0.3">
      <c r="C109" t="str">
        <f>IFERROR(VLOOKUP(B109,Inventory!A:G,2,FALSE),"")</f>
        <v/>
      </c>
      <c r="E109" t="str">
        <f>IFERROR(VLOOKUP(B109,Inventory!A:G,4,FALSE),"")</f>
        <v/>
      </c>
      <c r="F109" t="e">
        <f t="shared" si="1"/>
        <v>#VALUE!</v>
      </c>
    </row>
    <row r="110" spans="3:6" x14ac:dyDescent="0.3">
      <c r="C110" t="str">
        <f>IFERROR(VLOOKUP(B110,Inventory!A:G,2,FALSE),"")</f>
        <v/>
      </c>
      <c r="E110" t="str">
        <f>IFERROR(VLOOKUP(B110,Inventory!A:G,4,FALSE),"")</f>
        <v/>
      </c>
      <c r="F110" t="e">
        <f t="shared" si="1"/>
        <v>#VALUE!</v>
      </c>
    </row>
    <row r="111" spans="3:6" x14ac:dyDescent="0.3">
      <c r="C111" t="str">
        <f>IFERROR(VLOOKUP(B111,Inventory!A:G,2,FALSE),"")</f>
        <v/>
      </c>
      <c r="E111" t="str">
        <f>IFERROR(VLOOKUP(B111,Inventory!A:G,4,FALSE),"")</f>
        <v/>
      </c>
      <c r="F111" t="e">
        <f t="shared" si="1"/>
        <v>#VALUE!</v>
      </c>
    </row>
    <row r="112" spans="3:6" x14ac:dyDescent="0.3">
      <c r="C112" t="str">
        <f>IFERROR(VLOOKUP(B112,Inventory!A:G,2,FALSE),"")</f>
        <v/>
      </c>
      <c r="E112" t="str">
        <f>IFERROR(VLOOKUP(B112,Inventory!A:G,4,FALSE),"")</f>
        <v/>
      </c>
      <c r="F112" t="e">
        <f t="shared" si="1"/>
        <v>#VALUE!</v>
      </c>
    </row>
    <row r="113" spans="3:6" x14ac:dyDescent="0.3">
      <c r="C113" t="str">
        <f>IFERROR(VLOOKUP(B113,Inventory!A:G,2,FALSE),"")</f>
        <v/>
      </c>
      <c r="E113" t="str">
        <f>IFERROR(VLOOKUP(B113,Inventory!A:G,4,FALSE),"")</f>
        <v/>
      </c>
      <c r="F113" t="e">
        <f t="shared" si="1"/>
        <v>#VALUE!</v>
      </c>
    </row>
    <row r="114" spans="3:6" x14ac:dyDescent="0.3">
      <c r="C114" t="str">
        <f>IFERROR(VLOOKUP(B114,Inventory!A:G,2,FALSE),"")</f>
        <v/>
      </c>
      <c r="E114" t="str">
        <f>IFERROR(VLOOKUP(B114,Inventory!A:G,4,FALSE),"")</f>
        <v/>
      </c>
      <c r="F114" t="e">
        <f t="shared" si="1"/>
        <v>#VALUE!</v>
      </c>
    </row>
    <row r="115" spans="3:6" x14ac:dyDescent="0.3">
      <c r="C115" t="str">
        <f>IFERROR(VLOOKUP(B115,Inventory!A:G,2,FALSE),"")</f>
        <v/>
      </c>
      <c r="E115" t="str">
        <f>IFERROR(VLOOKUP(B115,Inventory!A:G,4,FALSE),"")</f>
        <v/>
      </c>
      <c r="F115" t="e">
        <f t="shared" si="1"/>
        <v>#VALUE!</v>
      </c>
    </row>
    <row r="116" spans="3:6" x14ac:dyDescent="0.3">
      <c r="C116" t="str">
        <f>IFERROR(VLOOKUP(B116,Inventory!A:G,2,FALSE),"")</f>
        <v/>
      </c>
      <c r="E116" t="str">
        <f>IFERROR(VLOOKUP(B116,Inventory!A:G,4,FALSE),"")</f>
        <v/>
      </c>
      <c r="F116" t="e">
        <f t="shared" si="1"/>
        <v>#VALUE!</v>
      </c>
    </row>
    <row r="117" spans="3:6" x14ac:dyDescent="0.3">
      <c r="C117" t="str">
        <f>IFERROR(VLOOKUP(B117,Inventory!A:G,2,FALSE),"")</f>
        <v/>
      </c>
      <c r="E117" t="str">
        <f>IFERROR(VLOOKUP(B117,Inventory!A:G,4,FALSE),"")</f>
        <v/>
      </c>
      <c r="F117" t="e">
        <f t="shared" si="1"/>
        <v>#VALUE!</v>
      </c>
    </row>
    <row r="118" spans="3:6" x14ac:dyDescent="0.3">
      <c r="C118" t="str">
        <f>IFERROR(VLOOKUP(B118,Inventory!A:G,2,FALSE),"")</f>
        <v/>
      </c>
      <c r="E118" t="str">
        <f>IFERROR(VLOOKUP(B118,Inventory!A:G,4,FALSE),"")</f>
        <v/>
      </c>
      <c r="F118" t="e">
        <f t="shared" si="1"/>
        <v>#VALUE!</v>
      </c>
    </row>
    <row r="119" spans="3:6" x14ac:dyDescent="0.3">
      <c r="C119" t="str">
        <f>IFERROR(VLOOKUP(B119,Inventory!A:G,2,FALSE),"")</f>
        <v/>
      </c>
      <c r="E119" t="str">
        <f>IFERROR(VLOOKUP(B119,Inventory!A:G,4,FALSE),"")</f>
        <v/>
      </c>
      <c r="F119" t="e">
        <f t="shared" si="1"/>
        <v>#VALUE!</v>
      </c>
    </row>
    <row r="120" spans="3:6" x14ac:dyDescent="0.3">
      <c r="C120" t="str">
        <f>IFERROR(VLOOKUP(B120,Inventory!A:G,2,FALSE),"")</f>
        <v/>
      </c>
      <c r="E120" t="str">
        <f>IFERROR(VLOOKUP(B120,Inventory!A:G,4,FALSE),"")</f>
        <v/>
      </c>
      <c r="F120" t="e">
        <f t="shared" si="1"/>
        <v>#VALUE!</v>
      </c>
    </row>
    <row r="121" spans="3:6" x14ac:dyDescent="0.3">
      <c r="C121" t="str">
        <f>IFERROR(VLOOKUP(B121,Inventory!A:G,2,FALSE),"")</f>
        <v/>
      </c>
      <c r="E121" t="str">
        <f>IFERROR(VLOOKUP(B121,Inventory!A:G,4,FALSE),"")</f>
        <v/>
      </c>
      <c r="F121" t="e">
        <f t="shared" si="1"/>
        <v>#VALUE!</v>
      </c>
    </row>
    <row r="122" spans="3:6" x14ac:dyDescent="0.3">
      <c r="C122" t="str">
        <f>IFERROR(VLOOKUP(B122,Inventory!A:G,2,FALSE),"")</f>
        <v/>
      </c>
      <c r="E122" t="str">
        <f>IFERROR(VLOOKUP(B122,Inventory!A:G,4,FALSE),"")</f>
        <v/>
      </c>
      <c r="F122" t="e">
        <f t="shared" si="1"/>
        <v>#VALUE!</v>
      </c>
    </row>
    <row r="123" spans="3:6" x14ac:dyDescent="0.3">
      <c r="C123" t="str">
        <f>IFERROR(VLOOKUP(B123,Inventory!A:G,2,FALSE),"")</f>
        <v/>
      </c>
      <c r="E123" t="str">
        <f>IFERROR(VLOOKUP(B123,Inventory!A:G,4,FALSE),"")</f>
        <v/>
      </c>
      <c r="F123" t="e">
        <f t="shared" si="1"/>
        <v>#VALUE!</v>
      </c>
    </row>
    <row r="124" spans="3:6" x14ac:dyDescent="0.3">
      <c r="C124" t="str">
        <f>IFERROR(VLOOKUP(B124,Inventory!A:G,2,FALSE),"")</f>
        <v/>
      </c>
      <c r="E124" t="str">
        <f>IFERROR(VLOOKUP(B124,Inventory!A:G,4,FALSE),"")</f>
        <v/>
      </c>
      <c r="F124" t="e">
        <f t="shared" si="1"/>
        <v>#VALUE!</v>
      </c>
    </row>
    <row r="125" spans="3:6" x14ac:dyDescent="0.3">
      <c r="C125" t="str">
        <f>IFERROR(VLOOKUP(B125,Inventory!A:G,2,FALSE),"")</f>
        <v/>
      </c>
      <c r="E125" t="str">
        <f>IFERROR(VLOOKUP(B125,Inventory!A:G,4,FALSE),"")</f>
        <v/>
      </c>
      <c r="F125" t="e">
        <f t="shared" si="1"/>
        <v>#VALUE!</v>
      </c>
    </row>
    <row r="126" spans="3:6" x14ac:dyDescent="0.3">
      <c r="C126" t="str">
        <f>IFERROR(VLOOKUP(B126,Inventory!A:G,2,FALSE),"")</f>
        <v/>
      </c>
      <c r="E126" t="str">
        <f>IFERROR(VLOOKUP(B126,Inventory!A:G,4,FALSE),"")</f>
        <v/>
      </c>
      <c r="F126" t="e">
        <f t="shared" si="1"/>
        <v>#VALUE!</v>
      </c>
    </row>
    <row r="127" spans="3:6" x14ac:dyDescent="0.3">
      <c r="C127" t="str">
        <f>IFERROR(VLOOKUP(B127,Inventory!A:G,2,FALSE),"")</f>
        <v/>
      </c>
      <c r="E127" t="str">
        <f>IFERROR(VLOOKUP(B127,Inventory!A:G,4,FALSE),"")</f>
        <v/>
      </c>
      <c r="F127" t="e">
        <f t="shared" si="1"/>
        <v>#VALUE!</v>
      </c>
    </row>
    <row r="128" spans="3:6" x14ac:dyDescent="0.3">
      <c r="C128" t="str">
        <f>IFERROR(VLOOKUP(B128,Inventory!A:G,2,FALSE),"")</f>
        <v/>
      </c>
      <c r="E128" t="str">
        <f>IFERROR(VLOOKUP(B128,Inventory!A:G,4,FALSE),"")</f>
        <v/>
      </c>
      <c r="F128" t="e">
        <f t="shared" si="1"/>
        <v>#VALUE!</v>
      </c>
    </row>
    <row r="129" spans="3:6" x14ac:dyDescent="0.3">
      <c r="C129" t="str">
        <f>IFERROR(VLOOKUP(B129,Inventory!A:G,2,FALSE),"")</f>
        <v/>
      </c>
      <c r="E129" t="str">
        <f>IFERROR(VLOOKUP(B129,Inventory!A:G,4,FALSE),"")</f>
        <v/>
      </c>
      <c r="F129" t="e">
        <f t="shared" si="1"/>
        <v>#VALUE!</v>
      </c>
    </row>
    <row r="130" spans="3:6" x14ac:dyDescent="0.3">
      <c r="C130" t="str">
        <f>IFERROR(VLOOKUP(B130,Inventory!A:G,2,FALSE),"")</f>
        <v/>
      </c>
      <c r="E130" t="str">
        <f>IFERROR(VLOOKUP(B130,Inventory!A:G,4,FALSE),"")</f>
        <v/>
      </c>
      <c r="F130" t="e">
        <f t="shared" ref="F130:F193" si="2">D130*E130</f>
        <v>#VALUE!</v>
      </c>
    </row>
    <row r="131" spans="3:6" x14ac:dyDescent="0.3">
      <c r="C131" t="str">
        <f>IFERROR(VLOOKUP(B131,Inventory!A:G,2,FALSE),"")</f>
        <v/>
      </c>
      <c r="E131" t="str">
        <f>IFERROR(VLOOKUP(B131,Inventory!A:G,4,FALSE),"")</f>
        <v/>
      </c>
      <c r="F131" t="e">
        <f t="shared" si="2"/>
        <v>#VALUE!</v>
      </c>
    </row>
    <row r="132" spans="3:6" x14ac:dyDescent="0.3">
      <c r="C132" t="str">
        <f>IFERROR(VLOOKUP(B132,Inventory!A:G,2,FALSE),"")</f>
        <v/>
      </c>
      <c r="E132" t="str">
        <f>IFERROR(VLOOKUP(B132,Inventory!A:G,4,FALSE),"")</f>
        <v/>
      </c>
      <c r="F132" t="e">
        <f t="shared" si="2"/>
        <v>#VALUE!</v>
      </c>
    </row>
    <row r="133" spans="3:6" x14ac:dyDescent="0.3">
      <c r="C133" t="str">
        <f>IFERROR(VLOOKUP(B133,Inventory!A:G,2,FALSE),"")</f>
        <v/>
      </c>
      <c r="E133" t="str">
        <f>IFERROR(VLOOKUP(B133,Inventory!A:G,4,FALSE),"")</f>
        <v/>
      </c>
      <c r="F133" t="e">
        <f t="shared" si="2"/>
        <v>#VALUE!</v>
      </c>
    </row>
    <row r="134" spans="3:6" x14ac:dyDescent="0.3">
      <c r="C134" t="str">
        <f>IFERROR(VLOOKUP(B134,Inventory!A:G,2,FALSE),"")</f>
        <v/>
      </c>
      <c r="E134" t="str">
        <f>IFERROR(VLOOKUP(B134,Inventory!A:G,4,FALSE),"")</f>
        <v/>
      </c>
      <c r="F134" t="e">
        <f t="shared" si="2"/>
        <v>#VALUE!</v>
      </c>
    </row>
    <row r="135" spans="3:6" x14ac:dyDescent="0.3">
      <c r="C135" t="str">
        <f>IFERROR(VLOOKUP(B135,Inventory!A:G,2,FALSE),"")</f>
        <v/>
      </c>
      <c r="E135" t="str">
        <f>IFERROR(VLOOKUP(B135,Inventory!A:G,4,FALSE),"")</f>
        <v/>
      </c>
      <c r="F135" t="e">
        <f t="shared" si="2"/>
        <v>#VALUE!</v>
      </c>
    </row>
    <row r="136" spans="3:6" x14ac:dyDescent="0.3">
      <c r="C136" t="str">
        <f>IFERROR(VLOOKUP(B136,Inventory!A:G,2,FALSE),"")</f>
        <v/>
      </c>
      <c r="E136" t="str">
        <f>IFERROR(VLOOKUP(B136,Inventory!A:G,4,FALSE),"")</f>
        <v/>
      </c>
      <c r="F136" t="e">
        <f t="shared" si="2"/>
        <v>#VALUE!</v>
      </c>
    </row>
    <row r="137" spans="3:6" x14ac:dyDescent="0.3">
      <c r="C137" t="str">
        <f>IFERROR(VLOOKUP(B137,Inventory!A:G,2,FALSE),"")</f>
        <v/>
      </c>
      <c r="E137" t="str">
        <f>IFERROR(VLOOKUP(B137,Inventory!A:G,4,FALSE),"")</f>
        <v/>
      </c>
      <c r="F137" t="e">
        <f t="shared" si="2"/>
        <v>#VALUE!</v>
      </c>
    </row>
    <row r="138" spans="3:6" x14ac:dyDescent="0.3">
      <c r="C138" t="str">
        <f>IFERROR(VLOOKUP(B138,Inventory!A:G,2,FALSE),"")</f>
        <v/>
      </c>
      <c r="E138" t="str">
        <f>IFERROR(VLOOKUP(B138,Inventory!A:G,4,FALSE),"")</f>
        <v/>
      </c>
      <c r="F138" t="e">
        <f t="shared" si="2"/>
        <v>#VALUE!</v>
      </c>
    </row>
    <row r="139" spans="3:6" x14ac:dyDescent="0.3">
      <c r="C139" t="str">
        <f>IFERROR(VLOOKUP(B139,Inventory!A:G,2,FALSE),"")</f>
        <v/>
      </c>
      <c r="E139" t="str">
        <f>IFERROR(VLOOKUP(B139,Inventory!A:G,4,FALSE),"")</f>
        <v/>
      </c>
      <c r="F139" t="e">
        <f t="shared" si="2"/>
        <v>#VALUE!</v>
      </c>
    </row>
    <row r="140" spans="3:6" x14ac:dyDescent="0.3">
      <c r="C140" t="str">
        <f>IFERROR(VLOOKUP(B140,Inventory!A:G,2,FALSE),"")</f>
        <v/>
      </c>
      <c r="E140" t="str">
        <f>IFERROR(VLOOKUP(B140,Inventory!A:G,4,FALSE),"")</f>
        <v/>
      </c>
      <c r="F140" t="e">
        <f t="shared" si="2"/>
        <v>#VALUE!</v>
      </c>
    </row>
    <row r="141" spans="3:6" x14ac:dyDescent="0.3">
      <c r="C141" t="str">
        <f>IFERROR(VLOOKUP(B141,Inventory!A:G,2,FALSE),"")</f>
        <v/>
      </c>
      <c r="E141" t="str">
        <f>IFERROR(VLOOKUP(B141,Inventory!A:G,4,FALSE),"")</f>
        <v/>
      </c>
      <c r="F141" t="e">
        <f t="shared" si="2"/>
        <v>#VALUE!</v>
      </c>
    </row>
    <row r="142" spans="3:6" x14ac:dyDescent="0.3">
      <c r="C142" t="str">
        <f>IFERROR(VLOOKUP(B142,Inventory!A:G,2,FALSE),"")</f>
        <v/>
      </c>
      <c r="E142" t="str">
        <f>IFERROR(VLOOKUP(B142,Inventory!A:G,4,FALSE),"")</f>
        <v/>
      </c>
      <c r="F142" t="e">
        <f t="shared" si="2"/>
        <v>#VALUE!</v>
      </c>
    </row>
    <row r="143" spans="3:6" x14ac:dyDescent="0.3">
      <c r="C143" t="str">
        <f>IFERROR(VLOOKUP(B143,Inventory!A:G,2,FALSE),"")</f>
        <v/>
      </c>
      <c r="E143" t="str">
        <f>IFERROR(VLOOKUP(B143,Inventory!A:G,4,FALSE),"")</f>
        <v/>
      </c>
      <c r="F143" t="e">
        <f t="shared" si="2"/>
        <v>#VALUE!</v>
      </c>
    </row>
    <row r="144" spans="3:6" x14ac:dyDescent="0.3">
      <c r="C144" t="str">
        <f>IFERROR(VLOOKUP(B144,Inventory!A:G,2,FALSE),"")</f>
        <v/>
      </c>
      <c r="E144" t="str">
        <f>IFERROR(VLOOKUP(B144,Inventory!A:G,4,FALSE),"")</f>
        <v/>
      </c>
      <c r="F144" t="e">
        <f t="shared" si="2"/>
        <v>#VALUE!</v>
      </c>
    </row>
    <row r="145" spans="3:6" x14ac:dyDescent="0.3">
      <c r="C145" t="str">
        <f>IFERROR(VLOOKUP(B145,Inventory!A:G,2,FALSE),"")</f>
        <v/>
      </c>
      <c r="E145" t="str">
        <f>IFERROR(VLOOKUP(B145,Inventory!A:G,4,FALSE),"")</f>
        <v/>
      </c>
      <c r="F145" t="e">
        <f t="shared" si="2"/>
        <v>#VALUE!</v>
      </c>
    </row>
    <row r="146" spans="3:6" x14ac:dyDescent="0.3">
      <c r="C146" t="str">
        <f>IFERROR(VLOOKUP(B146,Inventory!A:G,2,FALSE),"")</f>
        <v/>
      </c>
      <c r="E146" t="str">
        <f>IFERROR(VLOOKUP(B146,Inventory!A:G,4,FALSE),"")</f>
        <v/>
      </c>
      <c r="F146" t="e">
        <f t="shared" si="2"/>
        <v>#VALUE!</v>
      </c>
    </row>
    <row r="147" spans="3:6" x14ac:dyDescent="0.3">
      <c r="C147" t="str">
        <f>IFERROR(VLOOKUP(B147,Inventory!A:G,2,FALSE),"")</f>
        <v/>
      </c>
      <c r="E147" t="str">
        <f>IFERROR(VLOOKUP(B147,Inventory!A:G,4,FALSE),"")</f>
        <v/>
      </c>
      <c r="F147" t="e">
        <f t="shared" si="2"/>
        <v>#VALUE!</v>
      </c>
    </row>
    <row r="148" spans="3:6" x14ac:dyDescent="0.3">
      <c r="C148" t="str">
        <f>IFERROR(VLOOKUP(B148,Inventory!A:G,2,FALSE),"")</f>
        <v/>
      </c>
      <c r="E148" t="str">
        <f>IFERROR(VLOOKUP(B148,Inventory!A:G,4,FALSE),"")</f>
        <v/>
      </c>
      <c r="F148" t="e">
        <f t="shared" si="2"/>
        <v>#VALUE!</v>
      </c>
    </row>
    <row r="149" spans="3:6" x14ac:dyDescent="0.3">
      <c r="C149" t="str">
        <f>IFERROR(VLOOKUP(B149,Inventory!A:G,2,FALSE),"")</f>
        <v/>
      </c>
      <c r="E149" t="str">
        <f>IFERROR(VLOOKUP(B149,Inventory!A:G,4,FALSE),"")</f>
        <v/>
      </c>
      <c r="F149" t="e">
        <f t="shared" si="2"/>
        <v>#VALUE!</v>
      </c>
    </row>
    <row r="150" spans="3:6" x14ac:dyDescent="0.3">
      <c r="C150" t="str">
        <f>IFERROR(VLOOKUP(B150,Inventory!A:G,2,FALSE),"")</f>
        <v/>
      </c>
      <c r="E150" t="str">
        <f>IFERROR(VLOOKUP(B150,Inventory!A:G,4,FALSE),"")</f>
        <v/>
      </c>
      <c r="F150" t="e">
        <f t="shared" si="2"/>
        <v>#VALUE!</v>
      </c>
    </row>
    <row r="151" spans="3:6" x14ac:dyDescent="0.3">
      <c r="C151" t="str">
        <f>IFERROR(VLOOKUP(B151,Inventory!A:G,2,FALSE),"")</f>
        <v/>
      </c>
      <c r="E151" t="str">
        <f>IFERROR(VLOOKUP(B151,Inventory!A:G,4,FALSE),"")</f>
        <v/>
      </c>
      <c r="F151" t="e">
        <f t="shared" si="2"/>
        <v>#VALUE!</v>
      </c>
    </row>
    <row r="152" spans="3:6" x14ac:dyDescent="0.3">
      <c r="C152" t="str">
        <f>IFERROR(VLOOKUP(B152,Inventory!A:G,2,FALSE),"")</f>
        <v/>
      </c>
      <c r="E152" t="str">
        <f>IFERROR(VLOOKUP(B152,Inventory!A:G,4,FALSE),"")</f>
        <v/>
      </c>
      <c r="F152" t="e">
        <f t="shared" si="2"/>
        <v>#VALUE!</v>
      </c>
    </row>
    <row r="153" spans="3:6" x14ac:dyDescent="0.3">
      <c r="C153" t="str">
        <f>IFERROR(VLOOKUP(B153,Inventory!A:G,2,FALSE),"")</f>
        <v/>
      </c>
      <c r="E153" t="str">
        <f>IFERROR(VLOOKUP(B153,Inventory!A:G,4,FALSE),"")</f>
        <v/>
      </c>
      <c r="F153" t="e">
        <f t="shared" si="2"/>
        <v>#VALUE!</v>
      </c>
    </row>
    <row r="154" spans="3:6" x14ac:dyDescent="0.3">
      <c r="C154" t="str">
        <f>IFERROR(VLOOKUP(B154,Inventory!A:G,2,FALSE),"")</f>
        <v/>
      </c>
      <c r="E154" t="str">
        <f>IFERROR(VLOOKUP(B154,Inventory!A:G,4,FALSE),"")</f>
        <v/>
      </c>
      <c r="F154" t="e">
        <f t="shared" si="2"/>
        <v>#VALUE!</v>
      </c>
    </row>
    <row r="155" spans="3:6" x14ac:dyDescent="0.3">
      <c r="C155" t="str">
        <f>IFERROR(VLOOKUP(B155,Inventory!A:G,2,FALSE),"")</f>
        <v/>
      </c>
      <c r="E155" t="str">
        <f>IFERROR(VLOOKUP(B155,Inventory!A:G,4,FALSE),"")</f>
        <v/>
      </c>
      <c r="F155" t="e">
        <f t="shared" si="2"/>
        <v>#VALUE!</v>
      </c>
    </row>
    <row r="156" spans="3:6" x14ac:dyDescent="0.3">
      <c r="C156" t="str">
        <f>IFERROR(VLOOKUP(B156,Inventory!A:G,2,FALSE),"")</f>
        <v/>
      </c>
      <c r="E156" t="str">
        <f>IFERROR(VLOOKUP(B156,Inventory!A:G,4,FALSE),"")</f>
        <v/>
      </c>
      <c r="F156" t="e">
        <f t="shared" si="2"/>
        <v>#VALUE!</v>
      </c>
    </row>
    <row r="157" spans="3:6" x14ac:dyDescent="0.3">
      <c r="C157" t="str">
        <f>IFERROR(VLOOKUP(B157,Inventory!A:G,2,FALSE),"")</f>
        <v/>
      </c>
      <c r="E157" t="str">
        <f>IFERROR(VLOOKUP(B157,Inventory!A:G,4,FALSE),"")</f>
        <v/>
      </c>
      <c r="F157" t="e">
        <f t="shared" si="2"/>
        <v>#VALUE!</v>
      </c>
    </row>
    <row r="158" spans="3:6" x14ac:dyDescent="0.3">
      <c r="C158" t="str">
        <f>IFERROR(VLOOKUP(B158,Inventory!A:G,2,FALSE),"")</f>
        <v/>
      </c>
      <c r="E158" t="str">
        <f>IFERROR(VLOOKUP(B158,Inventory!A:G,4,FALSE),"")</f>
        <v/>
      </c>
      <c r="F158" t="e">
        <f t="shared" si="2"/>
        <v>#VALUE!</v>
      </c>
    </row>
    <row r="159" spans="3:6" x14ac:dyDescent="0.3">
      <c r="C159" t="str">
        <f>IFERROR(VLOOKUP(B159,Inventory!A:G,2,FALSE),"")</f>
        <v/>
      </c>
      <c r="E159" t="str">
        <f>IFERROR(VLOOKUP(B159,Inventory!A:G,4,FALSE),"")</f>
        <v/>
      </c>
      <c r="F159" t="e">
        <f t="shared" si="2"/>
        <v>#VALUE!</v>
      </c>
    </row>
    <row r="160" spans="3:6" x14ac:dyDescent="0.3">
      <c r="C160" t="str">
        <f>IFERROR(VLOOKUP(B160,Inventory!A:G,2,FALSE),"")</f>
        <v/>
      </c>
      <c r="E160" t="str">
        <f>IFERROR(VLOOKUP(B160,Inventory!A:G,4,FALSE),"")</f>
        <v/>
      </c>
      <c r="F160" t="e">
        <f t="shared" si="2"/>
        <v>#VALUE!</v>
      </c>
    </row>
    <row r="161" spans="3:6" x14ac:dyDescent="0.3">
      <c r="C161" t="str">
        <f>IFERROR(VLOOKUP(B161,Inventory!A:G,2,FALSE),"")</f>
        <v/>
      </c>
      <c r="E161" t="str">
        <f>IFERROR(VLOOKUP(B161,Inventory!A:G,4,FALSE),"")</f>
        <v/>
      </c>
      <c r="F161" t="e">
        <f t="shared" si="2"/>
        <v>#VALUE!</v>
      </c>
    </row>
    <row r="162" spans="3:6" x14ac:dyDescent="0.3">
      <c r="C162" t="str">
        <f>IFERROR(VLOOKUP(B162,Inventory!A:G,2,FALSE),"")</f>
        <v/>
      </c>
      <c r="E162" t="str">
        <f>IFERROR(VLOOKUP(B162,Inventory!A:G,4,FALSE),"")</f>
        <v/>
      </c>
      <c r="F162" t="e">
        <f t="shared" si="2"/>
        <v>#VALUE!</v>
      </c>
    </row>
    <row r="163" spans="3:6" x14ac:dyDescent="0.3">
      <c r="C163" t="str">
        <f>IFERROR(VLOOKUP(B163,Inventory!A:G,2,FALSE),"")</f>
        <v/>
      </c>
      <c r="E163" t="str">
        <f>IFERROR(VLOOKUP(B163,Inventory!A:G,4,FALSE),"")</f>
        <v/>
      </c>
      <c r="F163" t="e">
        <f t="shared" si="2"/>
        <v>#VALUE!</v>
      </c>
    </row>
    <row r="164" spans="3:6" x14ac:dyDescent="0.3">
      <c r="C164" t="str">
        <f>IFERROR(VLOOKUP(B164,Inventory!A:G,2,FALSE),"")</f>
        <v/>
      </c>
      <c r="E164" t="str">
        <f>IFERROR(VLOOKUP(B164,Inventory!A:G,4,FALSE),"")</f>
        <v/>
      </c>
      <c r="F164" t="e">
        <f t="shared" si="2"/>
        <v>#VALUE!</v>
      </c>
    </row>
    <row r="165" spans="3:6" x14ac:dyDescent="0.3">
      <c r="C165" t="str">
        <f>IFERROR(VLOOKUP(B165,Inventory!A:G,2,FALSE),"")</f>
        <v/>
      </c>
      <c r="E165" t="str">
        <f>IFERROR(VLOOKUP(B165,Inventory!A:G,4,FALSE),"")</f>
        <v/>
      </c>
      <c r="F165" t="e">
        <f t="shared" si="2"/>
        <v>#VALUE!</v>
      </c>
    </row>
    <row r="166" spans="3:6" x14ac:dyDescent="0.3">
      <c r="C166" t="str">
        <f>IFERROR(VLOOKUP(B166,Inventory!A:G,2,FALSE),"")</f>
        <v/>
      </c>
      <c r="E166" t="str">
        <f>IFERROR(VLOOKUP(B166,Inventory!A:G,4,FALSE),"")</f>
        <v/>
      </c>
      <c r="F166" t="e">
        <f t="shared" si="2"/>
        <v>#VALUE!</v>
      </c>
    </row>
    <row r="167" spans="3:6" x14ac:dyDescent="0.3">
      <c r="C167" t="str">
        <f>IFERROR(VLOOKUP(B167,Inventory!A:G,2,FALSE),"")</f>
        <v/>
      </c>
      <c r="E167" t="str">
        <f>IFERROR(VLOOKUP(B167,Inventory!A:G,4,FALSE),"")</f>
        <v/>
      </c>
      <c r="F167" t="e">
        <f t="shared" si="2"/>
        <v>#VALUE!</v>
      </c>
    </row>
    <row r="168" spans="3:6" x14ac:dyDescent="0.3">
      <c r="C168" t="str">
        <f>IFERROR(VLOOKUP(B168,Inventory!A:G,2,FALSE),"")</f>
        <v/>
      </c>
      <c r="E168" t="str">
        <f>IFERROR(VLOOKUP(B168,Inventory!A:G,4,FALSE),"")</f>
        <v/>
      </c>
      <c r="F168" t="e">
        <f t="shared" si="2"/>
        <v>#VALUE!</v>
      </c>
    </row>
    <row r="169" spans="3:6" x14ac:dyDescent="0.3">
      <c r="C169" t="str">
        <f>IFERROR(VLOOKUP(B169,Inventory!A:G,2,FALSE),"")</f>
        <v/>
      </c>
      <c r="E169" t="str">
        <f>IFERROR(VLOOKUP(B169,Inventory!A:G,4,FALSE),"")</f>
        <v/>
      </c>
      <c r="F169" t="e">
        <f t="shared" si="2"/>
        <v>#VALUE!</v>
      </c>
    </row>
    <row r="170" spans="3:6" x14ac:dyDescent="0.3">
      <c r="C170" t="str">
        <f>IFERROR(VLOOKUP(B170,Inventory!A:G,2,FALSE),"")</f>
        <v/>
      </c>
      <c r="E170" t="str">
        <f>IFERROR(VLOOKUP(B170,Inventory!A:G,4,FALSE),"")</f>
        <v/>
      </c>
      <c r="F170" t="e">
        <f t="shared" si="2"/>
        <v>#VALUE!</v>
      </c>
    </row>
    <row r="171" spans="3:6" x14ac:dyDescent="0.3">
      <c r="C171" t="str">
        <f>IFERROR(VLOOKUP(B171,Inventory!A:G,2,FALSE),"")</f>
        <v/>
      </c>
      <c r="E171" t="str">
        <f>IFERROR(VLOOKUP(B171,Inventory!A:G,4,FALSE),"")</f>
        <v/>
      </c>
      <c r="F171" t="e">
        <f t="shared" si="2"/>
        <v>#VALUE!</v>
      </c>
    </row>
    <row r="172" spans="3:6" x14ac:dyDescent="0.3">
      <c r="C172" t="str">
        <f>IFERROR(VLOOKUP(B172,Inventory!A:G,2,FALSE),"")</f>
        <v/>
      </c>
      <c r="E172" t="str">
        <f>IFERROR(VLOOKUP(B172,Inventory!A:G,4,FALSE),"")</f>
        <v/>
      </c>
      <c r="F172" t="e">
        <f t="shared" si="2"/>
        <v>#VALUE!</v>
      </c>
    </row>
    <row r="173" spans="3:6" x14ac:dyDescent="0.3">
      <c r="C173" t="str">
        <f>IFERROR(VLOOKUP(B173,Inventory!A:G,2,FALSE),"")</f>
        <v/>
      </c>
      <c r="E173" t="str">
        <f>IFERROR(VLOOKUP(B173,Inventory!A:G,4,FALSE),"")</f>
        <v/>
      </c>
      <c r="F173" t="e">
        <f t="shared" si="2"/>
        <v>#VALUE!</v>
      </c>
    </row>
    <row r="174" spans="3:6" x14ac:dyDescent="0.3">
      <c r="C174" t="str">
        <f>IFERROR(VLOOKUP(B174,Inventory!A:G,2,FALSE),"")</f>
        <v/>
      </c>
      <c r="E174" t="str">
        <f>IFERROR(VLOOKUP(B174,Inventory!A:G,4,FALSE),"")</f>
        <v/>
      </c>
      <c r="F174" t="e">
        <f t="shared" si="2"/>
        <v>#VALUE!</v>
      </c>
    </row>
    <row r="175" spans="3:6" x14ac:dyDescent="0.3">
      <c r="C175" t="str">
        <f>IFERROR(VLOOKUP(B175,Inventory!A:G,2,FALSE),"")</f>
        <v/>
      </c>
      <c r="E175" t="str">
        <f>IFERROR(VLOOKUP(B175,Inventory!A:G,4,FALSE),"")</f>
        <v/>
      </c>
      <c r="F175" t="e">
        <f t="shared" si="2"/>
        <v>#VALUE!</v>
      </c>
    </row>
    <row r="176" spans="3:6" x14ac:dyDescent="0.3">
      <c r="C176" t="str">
        <f>IFERROR(VLOOKUP(B176,Inventory!A:G,2,FALSE),"")</f>
        <v/>
      </c>
      <c r="E176" t="str">
        <f>IFERROR(VLOOKUP(B176,Inventory!A:G,4,FALSE),"")</f>
        <v/>
      </c>
      <c r="F176" t="e">
        <f t="shared" si="2"/>
        <v>#VALUE!</v>
      </c>
    </row>
    <row r="177" spans="3:6" x14ac:dyDescent="0.3">
      <c r="C177" t="str">
        <f>IFERROR(VLOOKUP(B177,Inventory!A:G,2,FALSE),"")</f>
        <v/>
      </c>
      <c r="E177" t="str">
        <f>IFERROR(VLOOKUP(B177,Inventory!A:G,4,FALSE),"")</f>
        <v/>
      </c>
      <c r="F177" t="e">
        <f t="shared" si="2"/>
        <v>#VALUE!</v>
      </c>
    </row>
    <row r="178" spans="3:6" x14ac:dyDescent="0.3">
      <c r="C178" t="str">
        <f>IFERROR(VLOOKUP(B178,Inventory!A:G,2,FALSE),"")</f>
        <v/>
      </c>
      <c r="E178" t="str">
        <f>IFERROR(VLOOKUP(B178,Inventory!A:G,4,FALSE),"")</f>
        <v/>
      </c>
      <c r="F178" t="e">
        <f t="shared" si="2"/>
        <v>#VALUE!</v>
      </c>
    </row>
    <row r="179" spans="3:6" x14ac:dyDescent="0.3">
      <c r="C179" t="str">
        <f>IFERROR(VLOOKUP(B179,Inventory!A:G,2,FALSE),"")</f>
        <v/>
      </c>
      <c r="E179" t="str">
        <f>IFERROR(VLOOKUP(B179,Inventory!A:G,4,FALSE),"")</f>
        <v/>
      </c>
      <c r="F179" t="e">
        <f t="shared" si="2"/>
        <v>#VALUE!</v>
      </c>
    </row>
    <row r="180" spans="3:6" x14ac:dyDescent="0.3">
      <c r="C180" t="str">
        <f>IFERROR(VLOOKUP(B180,Inventory!A:G,2,FALSE),"")</f>
        <v/>
      </c>
      <c r="E180" t="str">
        <f>IFERROR(VLOOKUP(B180,Inventory!A:G,4,FALSE),"")</f>
        <v/>
      </c>
      <c r="F180" t="e">
        <f t="shared" si="2"/>
        <v>#VALUE!</v>
      </c>
    </row>
    <row r="181" spans="3:6" x14ac:dyDescent="0.3">
      <c r="C181" t="str">
        <f>IFERROR(VLOOKUP(B181,Inventory!A:G,2,FALSE),"")</f>
        <v/>
      </c>
      <c r="E181" t="str">
        <f>IFERROR(VLOOKUP(B181,Inventory!A:G,4,FALSE),"")</f>
        <v/>
      </c>
      <c r="F181" t="e">
        <f t="shared" si="2"/>
        <v>#VALUE!</v>
      </c>
    </row>
    <row r="182" spans="3:6" x14ac:dyDescent="0.3">
      <c r="C182" t="str">
        <f>IFERROR(VLOOKUP(B182,Inventory!A:G,2,FALSE),"")</f>
        <v/>
      </c>
      <c r="E182" t="str">
        <f>IFERROR(VLOOKUP(B182,Inventory!A:G,4,FALSE),"")</f>
        <v/>
      </c>
      <c r="F182" t="e">
        <f t="shared" si="2"/>
        <v>#VALUE!</v>
      </c>
    </row>
    <row r="183" spans="3:6" x14ac:dyDescent="0.3">
      <c r="C183" t="str">
        <f>IFERROR(VLOOKUP(B183,Inventory!A:G,2,FALSE),"")</f>
        <v/>
      </c>
      <c r="E183" t="str">
        <f>IFERROR(VLOOKUP(B183,Inventory!A:G,4,FALSE),"")</f>
        <v/>
      </c>
      <c r="F183" t="e">
        <f t="shared" si="2"/>
        <v>#VALUE!</v>
      </c>
    </row>
    <row r="184" spans="3:6" x14ac:dyDescent="0.3">
      <c r="C184" t="str">
        <f>IFERROR(VLOOKUP(B184,Inventory!A:G,2,FALSE),"")</f>
        <v/>
      </c>
      <c r="E184" t="str">
        <f>IFERROR(VLOOKUP(B184,Inventory!A:G,4,FALSE),"")</f>
        <v/>
      </c>
      <c r="F184" t="e">
        <f t="shared" si="2"/>
        <v>#VALUE!</v>
      </c>
    </row>
    <row r="185" spans="3:6" x14ac:dyDescent="0.3">
      <c r="C185" t="str">
        <f>IFERROR(VLOOKUP(B185,Inventory!A:G,2,FALSE),"")</f>
        <v/>
      </c>
      <c r="E185" t="str">
        <f>IFERROR(VLOOKUP(B185,Inventory!A:G,4,FALSE),"")</f>
        <v/>
      </c>
      <c r="F185" t="e">
        <f t="shared" si="2"/>
        <v>#VALUE!</v>
      </c>
    </row>
    <row r="186" spans="3:6" x14ac:dyDescent="0.3">
      <c r="C186" t="str">
        <f>IFERROR(VLOOKUP(B186,Inventory!A:G,2,FALSE),"")</f>
        <v/>
      </c>
      <c r="E186" t="str">
        <f>IFERROR(VLOOKUP(B186,Inventory!A:G,4,FALSE),"")</f>
        <v/>
      </c>
      <c r="F186" t="e">
        <f t="shared" si="2"/>
        <v>#VALUE!</v>
      </c>
    </row>
    <row r="187" spans="3:6" x14ac:dyDescent="0.3">
      <c r="C187" t="str">
        <f>IFERROR(VLOOKUP(B187,Inventory!A:G,2,FALSE),"")</f>
        <v/>
      </c>
      <c r="E187" t="str">
        <f>IFERROR(VLOOKUP(B187,Inventory!A:G,4,FALSE),"")</f>
        <v/>
      </c>
      <c r="F187" t="e">
        <f t="shared" si="2"/>
        <v>#VALUE!</v>
      </c>
    </row>
    <row r="188" spans="3:6" x14ac:dyDescent="0.3">
      <c r="C188" t="str">
        <f>IFERROR(VLOOKUP(B188,Inventory!A:G,2,FALSE),"")</f>
        <v/>
      </c>
      <c r="E188" t="str">
        <f>IFERROR(VLOOKUP(B188,Inventory!A:G,4,FALSE),"")</f>
        <v/>
      </c>
      <c r="F188" t="e">
        <f t="shared" si="2"/>
        <v>#VALUE!</v>
      </c>
    </row>
    <row r="189" spans="3:6" x14ac:dyDescent="0.3">
      <c r="C189" t="str">
        <f>IFERROR(VLOOKUP(B189,Inventory!A:G,2,FALSE),"")</f>
        <v/>
      </c>
      <c r="E189" t="str">
        <f>IFERROR(VLOOKUP(B189,Inventory!A:G,4,FALSE),"")</f>
        <v/>
      </c>
      <c r="F189" t="e">
        <f t="shared" si="2"/>
        <v>#VALUE!</v>
      </c>
    </row>
    <row r="190" spans="3:6" x14ac:dyDescent="0.3">
      <c r="C190" t="str">
        <f>IFERROR(VLOOKUP(B190,Inventory!A:G,2,FALSE),"")</f>
        <v/>
      </c>
      <c r="E190" t="str">
        <f>IFERROR(VLOOKUP(B190,Inventory!A:G,4,FALSE),"")</f>
        <v/>
      </c>
      <c r="F190" t="e">
        <f t="shared" si="2"/>
        <v>#VALUE!</v>
      </c>
    </row>
    <row r="191" spans="3:6" x14ac:dyDescent="0.3">
      <c r="C191" t="str">
        <f>IFERROR(VLOOKUP(B191,Inventory!A:G,2,FALSE),"")</f>
        <v/>
      </c>
      <c r="E191" t="str">
        <f>IFERROR(VLOOKUP(B191,Inventory!A:G,4,FALSE),"")</f>
        <v/>
      </c>
      <c r="F191" t="e">
        <f t="shared" si="2"/>
        <v>#VALUE!</v>
      </c>
    </row>
    <row r="192" spans="3:6" x14ac:dyDescent="0.3">
      <c r="C192" t="str">
        <f>IFERROR(VLOOKUP(B192,Inventory!A:G,2,FALSE),"")</f>
        <v/>
      </c>
      <c r="E192" t="str">
        <f>IFERROR(VLOOKUP(B192,Inventory!A:G,4,FALSE),"")</f>
        <v/>
      </c>
      <c r="F192" t="e">
        <f t="shared" si="2"/>
        <v>#VALUE!</v>
      </c>
    </row>
    <row r="193" spans="3:6" x14ac:dyDescent="0.3">
      <c r="C193" t="str">
        <f>IFERROR(VLOOKUP(B193,Inventory!A:G,2,FALSE),"")</f>
        <v/>
      </c>
      <c r="E193" t="str">
        <f>IFERROR(VLOOKUP(B193,Inventory!A:G,4,FALSE),"")</f>
        <v/>
      </c>
      <c r="F193" t="e">
        <f t="shared" si="2"/>
        <v>#VALUE!</v>
      </c>
    </row>
    <row r="194" spans="3:6" x14ac:dyDescent="0.3">
      <c r="C194" t="str">
        <f>IFERROR(VLOOKUP(B194,Inventory!A:G,2,FALSE),"")</f>
        <v/>
      </c>
      <c r="E194" t="str">
        <f>IFERROR(VLOOKUP(B194,Inventory!A:G,4,FALSE),"")</f>
        <v/>
      </c>
      <c r="F194" t="e">
        <f t="shared" ref="F194:F257" si="3">D194*E194</f>
        <v>#VALUE!</v>
      </c>
    </row>
    <row r="195" spans="3:6" x14ac:dyDescent="0.3">
      <c r="C195" t="str">
        <f>IFERROR(VLOOKUP(B195,Inventory!A:G,2,FALSE),"")</f>
        <v/>
      </c>
      <c r="E195" t="str">
        <f>IFERROR(VLOOKUP(B195,Inventory!A:G,4,FALSE),"")</f>
        <v/>
      </c>
      <c r="F195" t="e">
        <f t="shared" si="3"/>
        <v>#VALUE!</v>
      </c>
    </row>
    <row r="196" spans="3:6" x14ac:dyDescent="0.3">
      <c r="C196" t="str">
        <f>IFERROR(VLOOKUP(B196,Inventory!A:G,2,FALSE),"")</f>
        <v/>
      </c>
      <c r="E196" t="str">
        <f>IFERROR(VLOOKUP(B196,Inventory!A:G,4,FALSE),"")</f>
        <v/>
      </c>
      <c r="F196" t="e">
        <f t="shared" si="3"/>
        <v>#VALUE!</v>
      </c>
    </row>
    <row r="197" spans="3:6" x14ac:dyDescent="0.3">
      <c r="C197" t="str">
        <f>IFERROR(VLOOKUP(B197,Inventory!A:G,2,FALSE),"")</f>
        <v/>
      </c>
      <c r="E197" t="str">
        <f>IFERROR(VLOOKUP(B197,Inventory!A:G,4,FALSE),"")</f>
        <v/>
      </c>
      <c r="F197" t="e">
        <f t="shared" si="3"/>
        <v>#VALUE!</v>
      </c>
    </row>
    <row r="198" spans="3:6" x14ac:dyDescent="0.3">
      <c r="C198" t="str">
        <f>IFERROR(VLOOKUP(B198,Inventory!A:G,2,FALSE),"")</f>
        <v/>
      </c>
      <c r="E198" t="str">
        <f>IFERROR(VLOOKUP(B198,Inventory!A:G,4,FALSE),"")</f>
        <v/>
      </c>
      <c r="F198" t="e">
        <f t="shared" si="3"/>
        <v>#VALUE!</v>
      </c>
    </row>
    <row r="199" spans="3:6" x14ac:dyDescent="0.3">
      <c r="C199" t="str">
        <f>IFERROR(VLOOKUP(B199,Inventory!A:G,2,FALSE),"")</f>
        <v/>
      </c>
      <c r="E199" t="str">
        <f>IFERROR(VLOOKUP(B199,Inventory!A:G,4,FALSE),"")</f>
        <v/>
      </c>
      <c r="F199" t="e">
        <f t="shared" si="3"/>
        <v>#VALUE!</v>
      </c>
    </row>
    <row r="200" spans="3:6" x14ac:dyDescent="0.3">
      <c r="C200" t="str">
        <f>IFERROR(VLOOKUP(B200,Inventory!A:G,2,FALSE),"")</f>
        <v/>
      </c>
      <c r="E200" t="str">
        <f>IFERROR(VLOOKUP(B200,Inventory!A:G,4,FALSE),"")</f>
        <v/>
      </c>
      <c r="F200" t="e">
        <f t="shared" si="3"/>
        <v>#VALUE!</v>
      </c>
    </row>
    <row r="201" spans="3:6" x14ac:dyDescent="0.3">
      <c r="C201" t="str">
        <f>IFERROR(VLOOKUP(B201,Inventory!A:G,2,FALSE),"")</f>
        <v/>
      </c>
      <c r="E201" t="str">
        <f>IFERROR(VLOOKUP(B201,Inventory!A:G,4,FALSE),"")</f>
        <v/>
      </c>
      <c r="F201" t="e">
        <f t="shared" si="3"/>
        <v>#VALUE!</v>
      </c>
    </row>
    <row r="202" spans="3:6" x14ac:dyDescent="0.3">
      <c r="C202" t="str">
        <f>IFERROR(VLOOKUP(B202,Inventory!A:G,2,FALSE),"")</f>
        <v/>
      </c>
      <c r="E202" t="str">
        <f>IFERROR(VLOOKUP(B202,Inventory!A:G,4,FALSE),"")</f>
        <v/>
      </c>
      <c r="F202" t="e">
        <f t="shared" si="3"/>
        <v>#VALUE!</v>
      </c>
    </row>
    <row r="203" spans="3:6" x14ac:dyDescent="0.3">
      <c r="C203" t="str">
        <f>IFERROR(VLOOKUP(B203,Inventory!A:G,2,FALSE),"")</f>
        <v/>
      </c>
      <c r="E203" t="str">
        <f>IFERROR(VLOOKUP(B203,Inventory!A:G,4,FALSE),"")</f>
        <v/>
      </c>
      <c r="F203" t="e">
        <f t="shared" si="3"/>
        <v>#VALUE!</v>
      </c>
    </row>
    <row r="204" spans="3:6" x14ac:dyDescent="0.3">
      <c r="C204" t="str">
        <f>IFERROR(VLOOKUP(B204,Inventory!A:G,2,FALSE),"")</f>
        <v/>
      </c>
      <c r="E204" t="str">
        <f>IFERROR(VLOOKUP(B204,Inventory!A:G,4,FALSE),"")</f>
        <v/>
      </c>
      <c r="F204" t="e">
        <f t="shared" si="3"/>
        <v>#VALUE!</v>
      </c>
    </row>
    <row r="205" spans="3:6" x14ac:dyDescent="0.3">
      <c r="C205" t="str">
        <f>IFERROR(VLOOKUP(B205,Inventory!A:G,2,FALSE),"")</f>
        <v/>
      </c>
      <c r="E205" t="str">
        <f>IFERROR(VLOOKUP(B205,Inventory!A:G,4,FALSE),"")</f>
        <v/>
      </c>
      <c r="F205" t="e">
        <f t="shared" si="3"/>
        <v>#VALUE!</v>
      </c>
    </row>
    <row r="206" spans="3:6" x14ac:dyDescent="0.3">
      <c r="C206" t="str">
        <f>IFERROR(VLOOKUP(B206,Inventory!A:G,2,FALSE),"")</f>
        <v/>
      </c>
      <c r="E206" t="str">
        <f>IFERROR(VLOOKUP(B206,Inventory!A:G,4,FALSE),"")</f>
        <v/>
      </c>
      <c r="F206" t="e">
        <f t="shared" si="3"/>
        <v>#VALUE!</v>
      </c>
    </row>
    <row r="207" spans="3:6" x14ac:dyDescent="0.3">
      <c r="C207" t="str">
        <f>IFERROR(VLOOKUP(B207,Inventory!A:G,2,FALSE),"")</f>
        <v/>
      </c>
      <c r="E207" t="str">
        <f>IFERROR(VLOOKUP(B207,Inventory!A:G,4,FALSE),"")</f>
        <v/>
      </c>
      <c r="F207" t="e">
        <f t="shared" si="3"/>
        <v>#VALUE!</v>
      </c>
    </row>
    <row r="208" spans="3:6" x14ac:dyDescent="0.3">
      <c r="C208" t="str">
        <f>IFERROR(VLOOKUP(B208,Inventory!A:G,2,FALSE),"")</f>
        <v/>
      </c>
      <c r="E208" t="str">
        <f>IFERROR(VLOOKUP(B208,Inventory!A:G,4,FALSE),"")</f>
        <v/>
      </c>
      <c r="F208" t="e">
        <f t="shared" si="3"/>
        <v>#VALUE!</v>
      </c>
    </row>
    <row r="209" spans="3:6" x14ac:dyDescent="0.3">
      <c r="C209" t="str">
        <f>IFERROR(VLOOKUP(B209,Inventory!A:G,2,FALSE),"")</f>
        <v/>
      </c>
      <c r="E209" t="str">
        <f>IFERROR(VLOOKUP(B209,Inventory!A:G,4,FALSE),"")</f>
        <v/>
      </c>
      <c r="F209" t="e">
        <f t="shared" si="3"/>
        <v>#VALUE!</v>
      </c>
    </row>
    <row r="210" spans="3:6" x14ac:dyDescent="0.3">
      <c r="C210" t="str">
        <f>IFERROR(VLOOKUP(B210,Inventory!A:G,2,FALSE),"")</f>
        <v/>
      </c>
      <c r="E210" t="str">
        <f>IFERROR(VLOOKUP(B210,Inventory!A:G,4,FALSE),"")</f>
        <v/>
      </c>
      <c r="F210" t="e">
        <f t="shared" si="3"/>
        <v>#VALUE!</v>
      </c>
    </row>
    <row r="211" spans="3:6" x14ac:dyDescent="0.3">
      <c r="C211" t="str">
        <f>IFERROR(VLOOKUP(B211,Inventory!A:G,2,FALSE),"")</f>
        <v/>
      </c>
      <c r="E211" t="str">
        <f>IFERROR(VLOOKUP(B211,Inventory!A:G,4,FALSE),"")</f>
        <v/>
      </c>
      <c r="F211" t="e">
        <f t="shared" si="3"/>
        <v>#VALUE!</v>
      </c>
    </row>
    <row r="212" spans="3:6" x14ac:dyDescent="0.3">
      <c r="C212" t="str">
        <f>IFERROR(VLOOKUP(B212,Inventory!A:G,2,FALSE),"")</f>
        <v/>
      </c>
      <c r="E212" t="str">
        <f>IFERROR(VLOOKUP(B212,Inventory!A:G,4,FALSE),"")</f>
        <v/>
      </c>
      <c r="F212" t="e">
        <f t="shared" si="3"/>
        <v>#VALUE!</v>
      </c>
    </row>
    <row r="213" spans="3:6" x14ac:dyDescent="0.3">
      <c r="C213" t="str">
        <f>IFERROR(VLOOKUP(B213,Inventory!A:G,2,FALSE),"")</f>
        <v/>
      </c>
      <c r="E213" t="str">
        <f>IFERROR(VLOOKUP(B213,Inventory!A:G,4,FALSE),"")</f>
        <v/>
      </c>
      <c r="F213" t="e">
        <f t="shared" si="3"/>
        <v>#VALUE!</v>
      </c>
    </row>
    <row r="214" spans="3:6" x14ac:dyDescent="0.3">
      <c r="C214" t="str">
        <f>IFERROR(VLOOKUP(B214,Inventory!A:G,2,FALSE),"")</f>
        <v/>
      </c>
      <c r="E214" t="str">
        <f>IFERROR(VLOOKUP(B214,Inventory!A:G,4,FALSE),"")</f>
        <v/>
      </c>
      <c r="F214" t="e">
        <f t="shared" si="3"/>
        <v>#VALUE!</v>
      </c>
    </row>
    <row r="215" spans="3:6" x14ac:dyDescent="0.3">
      <c r="C215" t="str">
        <f>IFERROR(VLOOKUP(B215,Inventory!A:G,2,FALSE),"")</f>
        <v/>
      </c>
      <c r="E215" t="str">
        <f>IFERROR(VLOOKUP(B215,Inventory!A:G,4,FALSE),"")</f>
        <v/>
      </c>
      <c r="F215" t="e">
        <f t="shared" si="3"/>
        <v>#VALUE!</v>
      </c>
    </row>
    <row r="216" spans="3:6" x14ac:dyDescent="0.3">
      <c r="C216" t="str">
        <f>IFERROR(VLOOKUP(B216,Inventory!A:G,2,FALSE),"")</f>
        <v/>
      </c>
      <c r="E216" t="str">
        <f>IFERROR(VLOOKUP(B216,Inventory!A:G,4,FALSE),"")</f>
        <v/>
      </c>
      <c r="F216" t="e">
        <f t="shared" si="3"/>
        <v>#VALUE!</v>
      </c>
    </row>
    <row r="217" spans="3:6" x14ac:dyDescent="0.3">
      <c r="C217" t="str">
        <f>IFERROR(VLOOKUP(B217,Inventory!A:G,2,FALSE),"")</f>
        <v/>
      </c>
      <c r="E217" t="str">
        <f>IFERROR(VLOOKUP(B217,Inventory!A:G,4,FALSE),"")</f>
        <v/>
      </c>
      <c r="F217" t="e">
        <f t="shared" si="3"/>
        <v>#VALUE!</v>
      </c>
    </row>
    <row r="218" spans="3:6" x14ac:dyDescent="0.3">
      <c r="C218" t="str">
        <f>IFERROR(VLOOKUP(B218,Inventory!A:G,2,FALSE),"")</f>
        <v/>
      </c>
      <c r="E218" t="str">
        <f>IFERROR(VLOOKUP(B218,Inventory!A:G,4,FALSE),"")</f>
        <v/>
      </c>
      <c r="F218" t="e">
        <f t="shared" si="3"/>
        <v>#VALUE!</v>
      </c>
    </row>
    <row r="219" spans="3:6" x14ac:dyDescent="0.3">
      <c r="C219" t="str">
        <f>IFERROR(VLOOKUP(B219,Inventory!A:G,2,FALSE),"")</f>
        <v/>
      </c>
      <c r="E219" t="str">
        <f>IFERROR(VLOOKUP(B219,Inventory!A:G,4,FALSE),"")</f>
        <v/>
      </c>
      <c r="F219" t="e">
        <f t="shared" si="3"/>
        <v>#VALUE!</v>
      </c>
    </row>
    <row r="220" spans="3:6" x14ac:dyDescent="0.3">
      <c r="C220" t="str">
        <f>IFERROR(VLOOKUP(B220,Inventory!A:G,2,FALSE),"")</f>
        <v/>
      </c>
      <c r="E220" t="str">
        <f>IFERROR(VLOOKUP(B220,Inventory!A:G,4,FALSE),"")</f>
        <v/>
      </c>
      <c r="F220" t="e">
        <f t="shared" si="3"/>
        <v>#VALUE!</v>
      </c>
    </row>
    <row r="221" spans="3:6" x14ac:dyDescent="0.3">
      <c r="C221" t="str">
        <f>IFERROR(VLOOKUP(B221,Inventory!A:G,2,FALSE),"")</f>
        <v/>
      </c>
      <c r="E221" t="str">
        <f>IFERROR(VLOOKUP(B221,Inventory!A:G,4,FALSE),"")</f>
        <v/>
      </c>
      <c r="F221" t="e">
        <f t="shared" si="3"/>
        <v>#VALUE!</v>
      </c>
    </row>
    <row r="222" spans="3:6" x14ac:dyDescent="0.3">
      <c r="C222" t="str">
        <f>IFERROR(VLOOKUP(B222,Inventory!A:G,2,FALSE),"")</f>
        <v/>
      </c>
      <c r="E222" t="str">
        <f>IFERROR(VLOOKUP(B222,Inventory!A:G,4,FALSE),"")</f>
        <v/>
      </c>
      <c r="F222" t="e">
        <f t="shared" si="3"/>
        <v>#VALUE!</v>
      </c>
    </row>
    <row r="223" spans="3:6" x14ac:dyDescent="0.3">
      <c r="C223" t="str">
        <f>IFERROR(VLOOKUP(B223,Inventory!A:G,2,FALSE),"")</f>
        <v/>
      </c>
      <c r="E223" t="str">
        <f>IFERROR(VLOOKUP(B223,Inventory!A:G,4,FALSE),"")</f>
        <v/>
      </c>
      <c r="F223" t="e">
        <f t="shared" si="3"/>
        <v>#VALUE!</v>
      </c>
    </row>
    <row r="224" spans="3:6" x14ac:dyDescent="0.3">
      <c r="C224" t="str">
        <f>IFERROR(VLOOKUP(B224,Inventory!A:G,2,FALSE),"")</f>
        <v/>
      </c>
      <c r="E224" t="str">
        <f>IFERROR(VLOOKUP(B224,Inventory!A:G,4,FALSE),"")</f>
        <v/>
      </c>
      <c r="F224" t="e">
        <f t="shared" si="3"/>
        <v>#VALUE!</v>
      </c>
    </row>
    <row r="225" spans="3:6" x14ac:dyDescent="0.3">
      <c r="C225" t="str">
        <f>IFERROR(VLOOKUP(B225,Inventory!A:G,2,FALSE),"")</f>
        <v/>
      </c>
      <c r="E225" t="str">
        <f>IFERROR(VLOOKUP(B225,Inventory!A:G,4,FALSE),"")</f>
        <v/>
      </c>
      <c r="F225" t="e">
        <f t="shared" si="3"/>
        <v>#VALUE!</v>
      </c>
    </row>
    <row r="226" spans="3:6" x14ac:dyDescent="0.3">
      <c r="C226" t="str">
        <f>IFERROR(VLOOKUP(B226,Inventory!A:G,2,FALSE),"")</f>
        <v/>
      </c>
      <c r="E226" t="str">
        <f>IFERROR(VLOOKUP(B226,Inventory!A:G,4,FALSE),"")</f>
        <v/>
      </c>
      <c r="F226" t="e">
        <f t="shared" si="3"/>
        <v>#VALUE!</v>
      </c>
    </row>
    <row r="227" spans="3:6" x14ac:dyDescent="0.3">
      <c r="C227" t="str">
        <f>IFERROR(VLOOKUP(B227,Inventory!A:G,2,FALSE),"")</f>
        <v/>
      </c>
      <c r="E227" t="str">
        <f>IFERROR(VLOOKUP(B227,Inventory!A:G,4,FALSE),"")</f>
        <v/>
      </c>
      <c r="F227" t="e">
        <f t="shared" si="3"/>
        <v>#VALUE!</v>
      </c>
    </row>
    <row r="228" spans="3:6" x14ac:dyDescent="0.3">
      <c r="C228" t="str">
        <f>IFERROR(VLOOKUP(B228,Inventory!A:G,2,FALSE),"")</f>
        <v/>
      </c>
      <c r="E228" t="str">
        <f>IFERROR(VLOOKUP(B228,Inventory!A:G,4,FALSE),"")</f>
        <v/>
      </c>
      <c r="F228" t="e">
        <f t="shared" si="3"/>
        <v>#VALUE!</v>
      </c>
    </row>
    <row r="229" spans="3:6" x14ac:dyDescent="0.3">
      <c r="C229" t="str">
        <f>IFERROR(VLOOKUP(B229,Inventory!A:G,2,FALSE),"")</f>
        <v/>
      </c>
      <c r="E229" t="str">
        <f>IFERROR(VLOOKUP(B229,Inventory!A:G,4,FALSE),"")</f>
        <v/>
      </c>
      <c r="F229" t="e">
        <f t="shared" si="3"/>
        <v>#VALUE!</v>
      </c>
    </row>
    <row r="230" spans="3:6" x14ac:dyDescent="0.3">
      <c r="C230" t="str">
        <f>IFERROR(VLOOKUP(B230,Inventory!A:G,2,FALSE),"")</f>
        <v/>
      </c>
      <c r="E230" t="str">
        <f>IFERROR(VLOOKUP(B230,Inventory!A:G,4,FALSE),"")</f>
        <v/>
      </c>
      <c r="F230" t="e">
        <f t="shared" si="3"/>
        <v>#VALUE!</v>
      </c>
    </row>
    <row r="231" spans="3:6" x14ac:dyDescent="0.3">
      <c r="C231" t="str">
        <f>IFERROR(VLOOKUP(B231,Inventory!A:G,2,FALSE),"")</f>
        <v/>
      </c>
      <c r="E231" t="str">
        <f>IFERROR(VLOOKUP(B231,Inventory!A:G,4,FALSE),"")</f>
        <v/>
      </c>
      <c r="F231" t="e">
        <f t="shared" si="3"/>
        <v>#VALUE!</v>
      </c>
    </row>
    <row r="232" spans="3:6" x14ac:dyDescent="0.3">
      <c r="C232" t="str">
        <f>IFERROR(VLOOKUP(B232,Inventory!A:G,2,FALSE),"")</f>
        <v/>
      </c>
      <c r="E232" t="str">
        <f>IFERROR(VLOOKUP(B232,Inventory!A:G,4,FALSE),"")</f>
        <v/>
      </c>
      <c r="F232" t="e">
        <f t="shared" si="3"/>
        <v>#VALUE!</v>
      </c>
    </row>
    <row r="233" spans="3:6" x14ac:dyDescent="0.3">
      <c r="C233" t="str">
        <f>IFERROR(VLOOKUP(B233,Inventory!A:G,2,FALSE),"")</f>
        <v/>
      </c>
      <c r="E233" t="str">
        <f>IFERROR(VLOOKUP(B233,Inventory!A:G,4,FALSE),"")</f>
        <v/>
      </c>
      <c r="F233" t="e">
        <f t="shared" si="3"/>
        <v>#VALUE!</v>
      </c>
    </row>
    <row r="234" spans="3:6" x14ac:dyDescent="0.3">
      <c r="C234" t="str">
        <f>IFERROR(VLOOKUP(B234,Inventory!A:G,2,FALSE),"")</f>
        <v/>
      </c>
      <c r="E234" t="str">
        <f>IFERROR(VLOOKUP(B234,Inventory!A:G,4,FALSE),"")</f>
        <v/>
      </c>
      <c r="F234" t="e">
        <f t="shared" si="3"/>
        <v>#VALUE!</v>
      </c>
    </row>
    <row r="235" spans="3:6" x14ac:dyDescent="0.3">
      <c r="C235" t="str">
        <f>IFERROR(VLOOKUP(B235,Inventory!A:G,2,FALSE),"")</f>
        <v/>
      </c>
      <c r="E235" t="str">
        <f>IFERROR(VLOOKUP(B235,Inventory!A:G,4,FALSE),"")</f>
        <v/>
      </c>
      <c r="F235" t="e">
        <f t="shared" si="3"/>
        <v>#VALUE!</v>
      </c>
    </row>
    <row r="236" spans="3:6" x14ac:dyDescent="0.3">
      <c r="C236" t="str">
        <f>IFERROR(VLOOKUP(B236,Inventory!A:G,2,FALSE),"")</f>
        <v/>
      </c>
      <c r="E236" t="str">
        <f>IFERROR(VLOOKUP(B236,Inventory!A:G,4,FALSE),"")</f>
        <v/>
      </c>
      <c r="F236" t="e">
        <f t="shared" si="3"/>
        <v>#VALUE!</v>
      </c>
    </row>
    <row r="237" spans="3:6" x14ac:dyDescent="0.3">
      <c r="C237" t="str">
        <f>IFERROR(VLOOKUP(B237,Inventory!A:G,2,FALSE),"")</f>
        <v/>
      </c>
      <c r="E237" t="str">
        <f>IFERROR(VLOOKUP(B237,Inventory!A:G,4,FALSE),"")</f>
        <v/>
      </c>
      <c r="F237" t="e">
        <f t="shared" si="3"/>
        <v>#VALUE!</v>
      </c>
    </row>
    <row r="238" spans="3:6" x14ac:dyDescent="0.3">
      <c r="C238" t="str">
        <f>IFERROR(VLOOKUP(B238,Inventory!A:G,2,FALSE),"")</f>
        <v/>
      </c>
      <c r="E238" t="str">
        <f>IFERROR(VLOOKUP(B238,Inventory!A:G,4,FALSE),"")</f>
        <v/>
      </c>
      <c r="F238" t="e">
        <f t="shared" si="3"/>
        <v>#VALUE!</v>
      </c>
    </row>
    <row r="239" spans="3:6" x14ac:dyDescent="0.3">
      <c r="C239" t="str">
        <f>IFERROR(VLOOKUP(B239,Inventory!A:G,2,FALSE),"")</f>
        <v/>
      </c>
      <c r="E239" t="str">
        <f>IFERROR(VLOOKUP(B239,Inventory!A:G,4,FALSE),"")</f>
        <v/>
      </c>
      <c r="F239" t="e">
        <f t="shared" si="3"/>
        <v>#VALUE!</v>
      </c>
    </row>
    <row r="240" spans="3:6" x14ac:dyDescent="0.3">
      <c r="C240" t="str">
        <f>IFERROR(VLOOKUP(B240,Inventory!A:G,2,FALSE),"")</f>
        <v/>
      </c>
      <c r="E240" t="str">
        <f>IFERROR(VLOOKUP(B240,Inventory!A:G,4,FALSE),"")</f>
        <v/>
      </c>
      <c r="F240" t="e">
        <f t="shared" si="3"/>
        <v>#VALUE!</v>
      </c>
    </row>
    <row r="241" spans="3:6" x14ac:dyDescent="0.3">
      <c r="C241" t="str">
        <f>IFERROR(VLOOKUP(B241,Inventory!A:G,2,FALSE),"")</f>
        <v/>
      </c>
      <c r="E241" t="str">
        <f>IFERROR(VLOOKUP(B241,Inventory!A:G,4,FALSE),"")</f>
        <v/>
      </c>
      <c r="F241" t="e">
        <f t="shared" si="3"/>
        <v>#VALUE!</v>
      </c>
    </row>
    <row r="242" spans="3:6" x14ac:dyDescent="0.3">
      <c r="C242" t="str">
        <f>IFERROR(VLOOKUP(B242,Inventory!A:G,2,FALSE),"")</f>
        <v/>
      </c>
      <c r="E242" t="str">
        <f>IFERROR(VLOOKUP(B242,Inventory!A:G,4,FALSE),"")</f>
        <v/>
      </c>
      <c r="F242" t="e">
        <f t="shared" si="3"/>
        <v>#VALUE!</v>
      </c>
    </row>
    <row r="243" spans="3:6" x14ac:dyDescent="0.3">
      <c r="C243" t="str">
        <f>IFERROR(VLOOKUP(B243,Inventory!A:G,2,FALSE),"")</f>
        <v/>
      </c>
      <c r="E243" t="str">
        <f>IFERROR(VLOOKUP(B243,Inventory!A:G,4,FALSE),"")</f>
        <v/>
      </c>
      <c r="F243" t="e">
        <f t="shared" si="3"/>
        <v>#VALUE!</v>
      </c>
    </row>
    <row r="244" spans="3:6" x14ac:dyDescent="0.3">
      <c r="C244" t="str">
        <f>IFERROR(VLOOKUP(B244,Inventory!A:G,2,FALSE),"")</f>
        <v/>
      </c>
      <c r="E244" t="str">
        <f>IFERROR(VLOOKUP(B244,Inventory!A:G,4,FALSE),"")</f>
        <v/>
      </c>
      <c r="F244" t="e">
        <f t="shared" si="3"/>
        <v>#VALUE!</v>
      </c>
    </row>
    <row r="245" spans="3:6" x14ac:dyDescent="0.3">
      <c r="C245" t="str">
        <f>IFERROR(VLOOKUP(B245,Inventory!A:G,2,FALSE),"")</f>
        <v/>
      </c>
      <c r="E245" t="str">
        <f>IFERROR(VLOOKUP(B245,Inventory!A:G,4,FALSE),"")</f>
        <v/>
      </c>
      <c r="F245" t="e">
        <f t="shared" si="3"/>
        <v>#VALUE!</v>
      </c>
    </row>
    <row r="246" spans="3:6" x14ac:dyDescent="0.3">
      <c r="C246" t="str">
        <f>IFERROR(VLOOKUP(B246,Inventory!A:G,2,FALSE),"")</f>
        <v/>
      </c>
      <c r="E246" t="str">
        <f>IFERROR(VLOOKUP(B246,Inventory!A:G,4,FALSE),"")</f>
        <v/>
      </c>
      <c r="F246" t="e">
        <f t="shared" si="3"/>
        <v>#VALUE!</v>
      </c>
    </row>
    <row r="247" spans="3:6" x14ac:dyDescent="0.3">
      <c r="C247" t="str">
        <f>IFERROR(VLOOKUP(B247,Inventory!A:G,2,FALSE),"")</f>
        <v/>
      </c>
      <c r="E247" t="str">
        <f>IFERROR(VLOOKUP(B247,Inventory!A:G,4,FALSE),"")</f>
        <v/>
      </c>
      <c r="F247" t="e">
        <f t="shared" si="3"/>
        <v>#VALUE!</v>
      </c>
    </row>
    <row r="248" spans="3:6" x14ac:dyDescent="0.3">
      <c r="C248" t="str">
        <f>IFERROR(VLOOKUP(B248,Inventory!A:G,2,FALSE),"")</f>
        <v/>
      </c>
      <c r="E248" t="str">
        <f>IFERROR(VLOOKUP(B248,Inventory!A:G,4,FALSE),"")</f>
        <v/>
      </c>
      <c r="F248" t="e">
        <f t="shared" si="3"/>
        <v>#VALUE!</v>
      </c>
    </row>
    <row r="249" spans="3:6" x14ac:dyDescent="0.3">
      <c r="C249" t="str">
        <f>IFERROR(VLOOKUP(B249,Inventory!A:G,2,FALSE),"")</f>
        <v/>
      </c>
      <c r="E249" t="str">
        <f>IFERROR(VLOOKUP(B249,Inventory!A:G,4,FALSE),"")</f>
        <v/>
      </c>
      <c r="F249" t="e">
        <f t="shared" si="3"/>
        <v>#VALUE!</v>
      </c>
    </row>
    <row r="250" spans="3:6" x14ac:dyDescent="0.3">
      <c r="C250" t="str">
        <f>IFERROR(VLOOKUP(B250,Inventory!A:G,2,FALSE),"")</f>
        <v/>
      </c>
      <c r="E250" t="str">
        <f>IFERROR(VLOOKUP(B250,Inventory!A:G,4,FALSE),"")</f>
        <v/>
      </c>
      <c r="F250" t="e">
        <f t="shared" si="3"/>
        <v>#VALUE!</v>
      </c>
    </row>
    <row r="251" spans="3:6" x14ac:dyDescent="0.3">
      <c r="C251" t="str">
        <f>IFERROR(VLOOKUP(B251,Inventory!A:G,2,FALSE),"")</f>
        <v/>
      </c>
      <c r="E251" t="str">
        <f>IFERROR(VLOOKUP(B251,Inventory!A:G,4,FALSE),"")</f>
        <v/>
      </c>
      <c r="F251" t="e">
        <f t="shared" si="3"/>
        <v>#VALUE!</v>
      </c>
    </row>
    <row r="252" spans="3:6" x14ac:dyDescent="0.3">
      <c r="C252" t="str">
        <f>IFERROR(VLOOKUP(B252,Inventory!A:G,2,FALSE),"")</f>
        <v/>
      </c>
      <c r="E252" t="str">
        <f>IFERROR(VLOOKUP(B252,Inventory!A:G,4,FALSE),"")</f>
        <v/>
      </c>
      <c r="F252" t="e">
        <f t="shared" si="3"/>
        <v>#VALUE!</v>
      </c>
    </row>
    <row r="253" spans="3:6" x14ac:dyDescent="0.3">
      <c r="C253" t="str">
        <f>IFERROR(VLOOKUP(B253,Inventory!A:G,2,FALSE),"")</f>
        <v/>
      </c>
      <c r="E253" t="str">
        <f>IFERROR(VLOOKUP(B253,Inventory!A:G,4,FALSE),"")</f>
        <v/>
      </c>
      <c r="F253" t="e">
        <f t="shared" si="3"/>
        <v>#VALUE!</v>
      </c>
    </row>
    <row r="254" spans="3:6" x14ac:dyDescent="0.3">
      <c r="C254" t="str">
        <f>IFERROR(VLOOKUP(B254,Inventory!A:G,2,FALSE),"")</f>
        <v/>
      </c>
      <c r="E254" t="str">
        <f>IFERROR(VLOOKUP(B254,Inventory!A:G,4,FALSE),"")</f>
        <v/>
      </c>
      <c r="F254" t="e">
        <f t="shared" si="3"/>
        <v>#VALUE!</v>
      </c>
    </row>
    <row r="255" spans="3:6" x14ac:dyDescent="0.3">
      <c r="C255" t="str">
        <f>IFERROR(VLOOKUP(B255,Inventory!A:G,2,FALSE),"")</f>
        <v/>
      </c>
      <c r="E255" t="str">
        <f>IFERROR(VLOOKUP(B255,Inventory!A:G,4,FALSE),"")</f>
        <v/>
      </c>
      <c r="F255" t="e">
        <f t="shared" si="3"/>
        <v>#VALUE!</v>
      </c>
    </row>
    <row r="256" spans="3:6" x14ac:dyDescent="0.3">
      <c r="C256" t="str">
        <f>IFERROR(VLOOKUP(B256,Inventory!A:G,2,FALSE),"")</f>
        <v/>
      </c>
      <c r="E256" t="str">
        <f>IFERROR(VLOOKUP(B256,Inventory!A:G,4,FALSE),"")</f>
        <v/>
      </c>
      <c r="F256" t="e">
        <f t="shared" si="3"/>
        <v>#VALUE!</v>
      </c>
    </row>
    <row r="257" spans="3:6" x14ac:dyDescent="0.3">
      <c r="C257" t="str">
        <f>IFERROR(VLOOKUP(B257,Inventory!A:G,2,FALSE),"")</f>
        <v/>
      </c>
      <c r="E257" t="str">
        <f>IFERROR(VLOOKUP(B257,Inventory!A:G,4,FALSE),"")</f>
        <v/>
      </c>
      <c r="F257" t="e">
        <f t="shared" si="3"/>
        <v>#VALUE!</v>
      </c>
    </row>
    <row r="258" spans="3:6" x14ac:dyDescent="0.3">
      <c r="C258" t="str">
        <f>IFERROR(VLOOKUP(B258,Inventory!A:G,2,FALSE),"")</f>
        <v/>
      </c>
      <c r="E258" t="str">
        <f>IFERROR(VLOOKUP(B258,Inventory!A:G,4,FALSE),"")</f>
        <v/>
      </c>
      <c r="F258" t="e">
        <f t="shared" ref="F258:F321" si="4">D258*E258</f>
        <v>#VALUE!</v>
      </c>
    </row>
    <row r="259" spans="3:6" x14ac:dyDescent="0.3">
      <c r="C259" t="str">
        <f>IFERROR(VLOOKUP(B259,Inventory!A:G,2,FALSE),"")</f>
        <v/>
      </c>
      <c r="E259" t="str">
        <f>IFERROR(VLOOKUP(B259,Inventory!A:G,4,FALSE),"")</f>
        <v/>
      </c>
      <c r="F259" t="e">
        <f t="shared" si="4"/>
        <v>#VALUE!</v>
      </c>
    </row>
    <row r="260" spans="3:6" x14ac:dyDescent="0.3">
      <c r="C260" t="str">
        <f>IFERROR(VLOOKUP(B260,Inventory!A:G,2,FALSE),"")</f>
        <v/>
      </c>
      <c r="E260" t="str">
        <f>IFERROR(VLOOKUP(B260,Inventory!A:G,4,FALSE),"")</f>
        <v/>
      </c>
      <c r="F260" t="e">
        <f t="shared" si="4"/>
        <v>#VALUE!</v>
      </c>
    </row>
    <row r="261" spans="3:6" x14ac:dyDescent="0.3">
      <c r="C261" t="str">
        <f>IFERROR(VLOOKUP(B261,Inventory!A:G,2,FALSE),"")</f>
        <v/>
      </c>
      <c r="E261" t="str">
        <f>IFERROR(VLOOKUP(B261,Inventory!A:G,4,FALSE),"")</f>
        <v/>
      </c>
      <c r="F261" t="e">
        <f t="shared" si="4"/>
        <v>#VALUE!</v>
      </c>
    </row>
    <row r="262" spans="3:6" x14ac:dyDescent="0.3">
      <c r="C262" t="str">
        <f>IFERROR(VLOOKUP(B262,Inventory!A:G,2,FALSE),"")</f>
        <v/>
      </c>
      <c r="E262" t="str">
        <f>IFERROR(VLOOKUP(B262,Inventory!A:G,4,FALSE),"")</f>
        <v/>
      </c>
      <c r="F262" t="e">
        <f t="shared" si="4"/>
        <v>#VALUE!</v>
      </c>
    </row>
    <row r="263" spans="3:6" x14ac:dyDescent="0.3">
      <c r="C263" t="str">
        <f>IFERROR(VLOOKUP(B263,Inventory!A:G,2,FALSE),"")</f>
        <v/>
      </c>
      <c r="E263" t="str">
        <f>IFERROR(VLOOKUP(B263,Inventory!A:G,4,FALSE),"")</f>
        <v/>
      </c>
      <c r="F263" t="e">
        <f t="shared" si="4"/>
        <v>#VALUE!</v>
      </c>
    </row>
    <row r="264" spans="3:6" x14ac:dyDescent="0.3">
      <c r="C264" t="str">
        <f>IFERROR(VLOOKUP(B264,Inventory!A:G,2,FALSE),"")</f>
        <v/>
      </c>
      <c r="E264" t="str">
        <f>IFERROR(VLOOKUP(B264,Inventory!A:G,4,FALSE),"")</f>
        <v/>
      </c>
      <c r="F264" t="e">
        <f t="shared" si="4"/>
        <v>#VALUE!</v>
      </c>
    </row>
    <row r="265" spans="3:6" x14ac:dyDescent="0.3">
      <c r="C265" t="str">
        <f>IFERROR(VLOOKUP(B265,Inventory!A:G,2,FALSE),"")</f>
        <v/>
      </c>
      <c r="E265" t="str">
        <f>IFERROR(VLOOKUP(B265,Inventory!A:G,4,FALSE),"")</f>
        <v/>
      </c>
      <c r="F265" t="e">
        <f t="shared" si="4"/>
        <v>#VALUE!</v>
      </c>
    </row>
    <row r="266" spans="3:6" x14ac:dyDescent="0.3">
      <c r="C266" t="str">
        <f>IFERROR(VLOOKUP(B266,Inventory!A:G,2,FALSE),"")</f>
        <v/>
      </c>
      <c r="E266" t="str">
        <f>IFERROR(VLOOKUP(B266,Inventory!A:G,4,FALSE),"")</f>
        <v/>
      </c>
      <c r="F266" t="e">
        <f t="shared" si="4"/>
        <v>#VALUE!</v>
      </c>
    </row>
    <row r="267" spans="3:6" x14ac:dyDescent="0.3">
      <c r="C267" t="str">
        <f>IFERROR(VLOOKUP(B267,Inventory!A:G,2,FALSE),"")</f>
        <v/>
      </c>
      <c r="E267" t="str">
        <f>IFERROR(VLOOKUP(B267,Inventory!A:G,4,FALSE),"")</f>
        <v/>
      </c>
      <c r="F267" t="e">
        <f t="shared" si="4"/>
        <v>#VALUE!</v>
      </c>
    </row>
    <row r="268" spans="3:6" x14ac:dyDescent="0.3">
      <c r="C268" t="str">
        <f>IFERROR(VLOOKUP(B268,Inventory!A:G,2,FALSE),"")</f>
        <v/>
      </c>
      <c r="E268" t="str">
        <f>IFERROR(VLOOKUP(B268,Inventory!A:G,4,FALSE),"")</f>
        <v/>
      </c>
      <c r="F268" t="e">
        <f t="shared" si="4"/>
        <v>#VALUE!</v>
      </c>
    </row>
    <row r="269" spans="3:6" x14ac:dyDescent="0.3">
      <c r="C269" t="str">
        <f>IFERROR(VLOOKUP(B269,Inventory!A:G,2,FALSE),"")</f>
        <v/>
      </c>
      <c r="E269" t="str">
        <f>IFERROR(VLOOKUP(B269,Inventory!A:G,4,FALSE),"")</f>
        <v/>
      </c>
      <c r="F269" t="e">
        <f t="shared" si="4"/>
        <v>#VALUE!</v>
      </c>
    </row>
    <row r="270" spans="3:6" x14ac:dyDescent="0.3">
      <c r="C270" t="str">
        <f>IFERROR(VLOOKUP(B270,Inventory!A:G,2,FALSE),"")</f>
        <v/>
      </c>
      <c r="E270" t="str">
        <f>IFERROR(VLOOKUP(B270,Inventory!A:G,4,FALSE),"")</f>
        <v/>
      </c>
      <c r="F270" t="e">
        <f t="shared" si="4"/>
        <v>#VALUE!</v>
      </c>
    </row>
    <row r="271" spans="3:6" x14ac:dyDescent="0.3">
      <c r="C271" t="str">
        <f>IFERROR(VLOOKUP(B271,Inventory!A:G,2,FALSE),"")</f>
        <v/>
      </c>
      <c r="E271" t="str">
        <f>IFERROR(VLOOKUP(B271,Inventory!A:G,4,FALSE),"")</f>
        <v/>
      </c>
      <c r="F271" t="e">
        <f t="shared" si="4"/>
        <v>#VALUE!</v>
      </c>
    </row>
    <row r="272" spans="3:6" x14ac:dyDescent="0.3">
      <c r="C272" t="str">
        <f>IFERROR(VLOOKUP(B272,Inventory!A:G,2,FALSE),"")</f>
        <v/>
      </c>
      <c r="E272" t="str">
        <f>IFERROR(VLOOKUP(B272,Inventory!A:G,4,FALSE),"")</f>
        <v/>
      </c>
      <c r="F272" t="e">
        <f t="shared" si="4"/>
        <v>#VALUE!</v>
      </c>
    </row>
    <row r="273" spans="3:6" x14ac:dyDescent="0.3">
      <c r="C273" t="str">
        <f>IFERROR(VLOOKUP(B273,Inventory!A:G,2,FALSE),"")</f>
        <v/>
      </c>
      <c r="E273" t="str">
        <f>IFERROR(VLOOKUP(B273,Inventory!A:G,4,FALSE),"")</f>
        <v/>
      </c>
      <c r="F273" t="e">
        <f t="shared" si="4"/>
        <v>#VALUE!</v>
      </c>
    </row>
    <row r="274" spans="3:6" x14ac:dyDescent="0.3">
      <c r="C274" t="str">
        <f>IFERROR(VLOOKUP(B274,Inventory!A:G,2,FALSE),"")</f>
        <v/>
      </c>
      <c r="E274" t="str">
        <f>IFERROR(VLOOKUP(B274,Inventory!A:G,4,FALSE),"")</f>
        <v/>
      </c>
      <c r="F274" t="e">
        <f t="shared" si="4"/>
        <v>#VALUE!</v>
      </c>
    </row>
    <row r="275" spans="3:6" x14ac:dyDescent="0.3">
      <c r="C275" t="str">
        <f>IFERROR(VLOOKUP(B275,Inventory!A:G,2,FALSE),"")</f>
        <v/>
      </c>
      <c r="E275" t="str">
        <f>IFERROR(VLOOKUP(B275,Inventory!A:G,4,FALSE),"")</f>
        <v/>
      </c>
      <c r="F275" t="e">
        <f t="shared" si="4"/>
        <v>#VALUE!</v>
      </c>
    </row>
    <row r="276" spans="3:6" x14ac:dyDescent="0.3">
      <c r="C276" t="str">
        <f>IFERROR(VLOOKUP(B276,Inventory!A:G,2,FALSE),"")</f>
        <v/>
      </c>
      <c r="E276" t="str">
        <f>IFERROR(VLOOKUP(B276,Inventory!A:G,4,FALSE),"")</f>
        <v/>
      </c>
      <c r="F276" t="e">
        <f t="shared" si="4"/>
        <v>#VALUE!</v>
      </c>
    </row>
    <row r="277" spans="3:6" x14ac:dyDescent="0.3">
      <c r="C277" t="str">
        <f>IFERROR(VLOOKUP(B277,Inventory!A:G,2,FALSE),"")</f>
        <v/>
      </c>
      <c r="E277" t="str">
        <f>IFERROR(VLOOKUP(B277,Inventory!A:G,4,FALSE),"")</f>
        <v/>
      </c>
      <c r="F277" t="e">
        <f t="shared" si="4"/>
        <v>#VALUE!</v>
      </c>
    </row>
    <row r="278" spans="3:6" x14ac:dyDescent="0.3">
      <c r="C278" t="str">
        <f>IFERROR(VLOOKUP(B278,Inventory!A:G,2,FALSE),"")</f>
        <v/>
      </c>
      <c r="E278" t="str">
        <f>IFERROR(VLOOKUP(B278,Inventory!A:G,4,FALSE),"")</f>
        <v/>
      </c>
      <c r="F278" t="e">
        <f t="shared" si="4"/>
        <v>#VALUE!</v>
      </c>
    </row>
    <row r="279" spans="3:6" x14ac:dyDescent="0.3">
      <c r="C279" t="str">
        <f>IFERROR(VLOOKUP(B279,Inventory!A:G,2,FALSE),"")</f>
        <v/>
      </c>
      <c r="E279" t="str">
        <f>IFERROR(VLOOKUP(B279,Inventory!A:G,4,FALSE),"")</f>
        <v/>
      </c>
      <c r="F279" t="e">
        <f t="shared" si="4"/>
        <v>#VALUE!</v>
      </c>
    </row>
    <row r="280" spans="3:6" x14ac:dyDescent="0.3">
      <c r="C280" t="str">
        <f>IFERROR(VLOOKUP(B280,Inventory!A:G,2,FALSE),"")</f>
        <v/>
      </c>
      <c r="E280" t="str">
        <f>IFERROR(VLOOKUP(B280,Inventory!A:G,4,FALSE),"")</f>
        <v/>
      </c>
      <c r="F280" t="e">
        <f t="shared" si="4"/>
        <v>#VALUE!</v>
      </c>
    </row>
    <row r="281" spans="3:6" x14ac:dyDescent="0.3">
      <c r="C281" t="str">
        <f>IFERROR(VLOOKUP(B281,Inventory!A:G,2,FALSE),"")</f>
        <v/>
      </c>
      <c r="E281" t="str">
        <f>IFERROR(VLOOKUP(B281,Inventory!A:G,4,FALSE),"")</f>
        <v/>
      </c>
      <c r="F281" t="e">
        <f t="shared" si="4"/>
        <v>#VALUE!</v>
      </c>
    </row>
    <row r="282" spans="3:6" x14ac:dyDescent="0.3">
      <c r="C282" t="str">
        <f>IFERROR(VLOOKUP(B282,Inventory!A:G,2,FALSE),"")</f>
        <v/>
      </c>
      <c r="E282" t="str">
        <f>IFERROR(VLOOKUP(B282,Inventory!A:G,4,FALSE),"")</f>
        <v/>
      </c>
      <c r="F282" t="e">
        <f t="shared" si="4"/>
        <v>#VALUE!</v>
      </c>
    </row>
    <row r="283" spans="3:6" x14ac:dyDescent="0.3">
      <c r="C283" t="str">
        <f>IFERROR(VLOOKUP(B283,Inventory!A:G,2,FALSE),"")</f>
        <v/>
      </c>
      <c r="E283" t="str">
        <f>IFERROR(VLOOKUP(B283,Inventory!A:G,4,FALSE),"")</f>
        <v/>
      </c>
      <c r="F283" t="e">
        <f t="shared" si="4"/>
        <v>#VALUE!</v>
      </c>
    </row>
    <row r="284" spans="3:6" x14ac:dyDescent="0.3">
      <c r="C284" t="str">
        <f>IFERROR(VLOOKUP(B284,Inventory!A:G,2,FALSE),"")</f>
        <v/>
      </c>
      <c r="E284" t="str">
        <f>IFERROR(VLOOKUP(B284,Inventory!A:G,4,FALSE),"")</f>
        <v/>
      </c>
      <c r="F284" t="e">
        <f t="shared" si="4"/>
        <v>#VALUE!</v>
      </c>
    </row>
    <row r="285" spans="3:6" x14ac:dyDescent="0.3">
      <c r="C285" t="str">
        <f>IFERROR(VLOOKUP(B285,Inventory!A:G,2,FALSE),"")</f>
        <v/>
      </c>
      <c r="E285" t="str">
        <f>IFERROR(VLOOKUP(B285,Inventory!A:G,4,FALSE),"")</f>
        <v/>
      </c>
      <c r="F285" t="e">
        <f t="shared" si="4"/>
        <v>#VALUE!</v>
      </c>
    </row>
    <row r="286" spans="3:6" x14ac:dyDescent="0.3">
      <c r="C286" t="str">
        <f>IFERROR(VLOOKUP(B286,Inventory!A:G,2,FALSE),"")</f>
        <v/>
      </c>
      <c r="E286" t="str">
        <f>IFERROR(VLOOKUP(B286,Inventory!A:G,4,FALSE),"")</f>
        <v/>
      </c>
      <c r="F286" t="e">
        <f t="shared" si="4"/>
        <v>#VALUE!</v>
      </c>
    </row>
    <row r="287" spans="3:6" x14ac:dyDescent="0.3">
      <c r="C287" t="str">
        <f>IFERROR(VLOOKUP(B287,Inventory!A:G,2,FALSE),"")</f>
        <v/>
      </c>
      <c r="E287" t="str">
        <f>IFERROR(VLOOKUP(B287,Inventory!A:G,4,FALSE),"")</f>
        <v/>
      </c>
      <c r="F287" t="e">
        <f t="shared" si="4"/>
        <v>#VALUE!</v>
      </c>
    </row>
    <row r="288" spans="3:6" x14ac:dyDescent="0.3">
      <c r="C288" t="str">
        <f>IFERROR(VLOOKUP(B288,Inventory!A:G,2,FALSE),"")</f>
        <v/>
      </c>
      <c r="E288" t="str">
        <f>IFERROR(VLOOKUP(B288,Inventory!A:G,4,FALSE),"")</f>
        <v/>
      </c>
      <c r="F288" t="e">
        <f t="shared" si="4"/>
        <v>#VALUE!</v>
      </c>
    </row>
    <row r="289" spans="3:6" x14ac:dyDescent="0.3">
      <c r="C289" t="str">
        <f>IFERROR(VLOOKUP(B289,Inventory!A:G,2,FALSE),"")</f>
        <v/>
      </c>
      <c r="E289" t="str">
        <f>IFERROR(VLOOKUP(B289,Inventory!A:G,4,FALSE),"")</f>
        <v/>
      </c>
      <c r="F289" t="e">
        <f t="shared" si="4"/>
        <v>#VALUE!</v>
      </c>
    </row>
    <row r="290" spans="3:6" x14ac:dyDescent="0.3">
      <c r="C290" t="str">
        <f>IFERROR(VLOOKUP(B290,Inventory!A:G,2,FALSE),"")</f>
        <v/>
      </c>
      <c r="E290" t="str">
        <f>IFERROR(VLOOKUP(B290,Inventory!A:G,4,FALSE),"")</f>
        <v/>
      </c>
      <c r="F290" t="e">
        <f t="shared" si="4"/>
        <v>#VALUE!</v>
      </c>
    </row>
    <row r="291" spans="3:6" x14ac:dyDescent="0.3">
      <c r="C291" t="str">
        <f>IFERROR(VLOOKUP(B291,Inventory!A:G,2,FALSE),"")</f>
        <v/>
      </c>
      <c r="E291" t="str">
        <f>IFERROR(VLOOKUP(B291,Inventory!A:G,4,FALSE),"")</f>
        <v/>
      </c>
      <c r="F291" t="e">
        <f t="shared" si="4"/>
        <v>#VALUE!</v>
      </c>
    </row>
    <row r="292" spans="3:6" x14ac:dyDescent="0.3">
      <c r="C292" t="str">
        <f>IFERROR(VLOOKUP(B292,Inventory!A:G,2,FALSE),"")</f>
        <v/>
      </c>
      <c r="E292" t="str">
        <f>IFERROR(VLOOKUP(B292,Inventory!A:G,4,FALSE),"")</f>
        <v/>
      </c>
      <c r="F292" t="e">
        <f t="shared" si="4"/>
        <v>#VALUE!</v>
      </c>
    </row>
    <row r="293" spans="3:6" x14ac:dyDescent="0.3">
      <c r="C293" t="str">
        <f>IFERROR(VLOOKUP(B293,Inventory!A:G,2,FALSE),"")</f>
        <v/>
      </c>
      <c r="E293" t="str">
        <f>IFERROR(VLOOKUP(B293,Inventory!A:G,4,FALSE),"")</f>
        <v/>
      </c>
      <c r="F293" t="e">
        <f t="shared" si="4"/>
        <v>#VALUE!</v>
      </c>
    </row>
    <row r="294" spans="3:6" x14ac:dyDescent="0.3">
      <c r="C294" t="str">
        <f>IFERROR(VLOOKUP(B294,Inventory!A:G,2,FALSE),"")</f>
        <v/>
      </c>
      <c r="E294" t="str">
        <f>IFERROR(VLOOKUP(B294,Inventory!A:G,4,FALSE),"")</f>
        <v/>
      </c>
      <c r="F294" t="e">
        <f t="shared" si="4"/>
        <v>#VALUE!</v>
      </c>
    </row>
    <row r="295" spans="3:6" x14ac:dyDescent="0.3">
      <c r="C295" t="str">
        <f>IFERROR(VLOOKUP(B295,Inventory!A:G,2,FALSE),"")</f>
        <v/>
      </c>
      <c r="E295" t="str">
        <f>IFERROR(VLOOKUP(B295,Inventory!A:G,4,FALSE),"")</f>
        <v/>
      </c>
      <c r="F295" t="e">
        <f t="shared" si="4"/>
        <v>#VALUE!</v>
      </c>
    </row>
    <row r="296" spans="3:6" x14ac:dyDescent="0.3">
      <c r="C296" t="str">
        <f>IFERROR(VLOOKUP(B296,Inventory!A:G,2,FALSE),"")</f>
        <v/>
      </c>
      <c r="E296" t="str">
        <f>IFERROR(VLOOKUP(B296,Inventory!A:G,4,FALSE),"")</f>
        <v/>
      </c>
      <c r="F296" t="e">
        <f t="shared" si="4"/>
        <v>#VALUE!</v>
      </c>
    </row>
    <row r="297" spans="3:6" x14ac:dyDescent="0.3">
      <c r="C297" t="str">
        <f>IFERROR(VLOOKUP(B297,Inventory!A:G,2,FALSE),"")</f>
        <v/>
      </c>
      <c r="E297" t="str">
        <f>IFERROR(VLOOKUP(B297,Inventory!A:G,4,FALSE),"")</f>
        <v/>
      </c>
      <c r="F297" t="e">
        <f t="shared" si="4"/>
        <v>#VALUE!</v>
      </c>
    </row>
    <row r="298" spans="3:6" x14ac:dyDescent="0.3">
      <c r="C298" t="str">
        <f>IFERROR(VLOOKUP(B298,Inventory!A:G,2,FALSE),"")</f>
        <v/>
      </c>
      <c r="E298" t="str">
        <f>IFERROR(VLOOKUP(B298,Inventory!A:G,4,FALSE),"")</f>
        <v/>
      </c>
      <c r="F298" t="e">
        <f t="shared" si="4"/>
        <v>#VALUE!</v>
      </c>
    </row>
    <row r="299" spans="3:6" x14ac:dyDescent="0.3">
      <c r="C299" t="str">
        <f>IFERROR(VLOOKUP(B299,Inventory!A:G,2,FALSE),"")</f>
        <v/>
      </c>
      <c r="E299" t="str">
        <f>IFERROR(VLOOKUP(B299,Inventory!A:G,4,FALSE),"")</f>
        <v/>
      </c>
      <c r="F299" t="e">
        <f t="shared" si="4"/>
        <v>#VALUE!</v>
      </c>
    </row>
    <row r="300" spans="3:6" x14ac:dyDescent="0.3">
      <c r="C300" t="str">
        <f>IFERROR(VLOOKUP(B300,Inventory!A:G,2,FALSE),"")</f>
        <v/>
      </c>
      <c r="E300" t="str">
        <f>IFERROR(VLOOKUP(B300,Inventory!A:G,4,FALSE),"")</f>
        <v/>
      </c>
      <c r="F300" t="e">
        <f t="shared" si="4"/>
        <v>#VALUE!</v>
      </c>
    </row>
    <row r="301" spans="3:6" x14ac:dyDescent="0.3">
      <c r="C301" t="str">
        <f>IFERROR(VLOOKUP(B301,Inventory!A:G,2,FALSE),"")</f>
        <v/>
      </c>
      <c r="E301" t="str">
        <f>IFERROR(VLOOKUP(B301,Inventory!A:G,4,FALSE),"")</f>
        <v/>
      </c>
      <c r="F301" t="e">
        <f t="shared" si="4"/>
        <v>#VALUE!</v>
      </c>
    </row>
    <row r="302" spans="3:6" x14ac:dyDescent="0.3">
      <c r="C302" t="str">
        <f>IFERROR(VLOOKUP(B302,Inventory!A:G,2,FALSE),"")</f>
        <v/>
      </c>
      <c r="E302" t="str">
        <f>IFERROR(VLOOKUP(B302,Inventory!A:G,4,FALSE),"")</f>
        <v/>
      </c>
      <c r="F302" t="e">
        <f t="shared" si="4"/>
        <v>#VALUE!</v>
      </c>
    </row>
    <row r="303" spans="3:6" x14ac:dyDescent="0.3">
      <c r="C303" t="str">
        <f>IFERROR(VLOOKUP(B303,Inventory!A:G,2,FALSE),"")</f>
        <v/>
      </c>
      <c r="E303" t="str">
        <f>IFERROR(VLOOKUP(B303,Inventory!A:G,4,FALSE),"")</f>
        <v/>
      </c>
      <c r="F303" t="e">
        <f t="shared" si="4"/>
        <v>#VALUE!</v>
      </c>
    </row>
    <row r="304" spans="3:6" x14ac:dyDescent="0.3">
      <c r="C304" t="str">
        <f>IFERROR(VLOOKUP(B304,Inventory!A:G,2,FALSE),"")</f>
        <v/>
      </c>
      <c r="E304" t="str">
        <f>IFERROR(VLOOKUP(B304,Inventory!A:G,4,FALSE),"")</f>
        <v/>
      </c>
      <c r="F304" t="e">
        <f t="shared" si="4"/>
        <v>#VALUE!</v>
      </c>
    </row>
    <row r="305" spans="3:6" x14ac:dyDescent="0.3">
      <c r="C305" t="str">
        <f>IFERROR(VLOOKUP(B305,Inventory!A:G,2,FALSE),"")</f>
        <v/>
      </c>
      <c r="E305" t="str">
        <f>IFERROR(VLOOKUP(B305,Inventory!A:G,4,FALSE),"")</f>
        <v/>
      </c>
      <c r="F305" t="e">
        <f t="shared" si="4"/>
        <v>#VALUE!</v>
      </c>
    </row>
    <row r="306" spans="3:6" x14ac:dyDescent="0.3">
      <c r="C306" t="str">
        <f>IFERROR(VLOOKUP(B306,Inventory!A:G,2,FALSE),"")</f>
        <v/>
      </c>
      <c r="E306" t="str">
        <f>IFERROR(VLOOKUP(B306,Inventory!A:G,4,FALSE),"")</f>
        <v/>
      </c>
      <c r="F306" t="e">
        <f t="shared" si="4"/>
        <v>#VALUE!</v>
      </c>
    </row>
    <row r="307" spans="3:6" x14ac:dyDescent="0.3">
      <c r="C307" t="str">
        <f>IFERROR(VLOOKUP(B307,Inventory!A:G,2,FALSE),"")</f>
        <v/>
      </c>
      <c r="E307" t="str">
        <f>IFERROR(VLOOKUP(B307,Inventory!A:G,4,FALSE),"")</f>
        <v/>
      </c>
      <c r="F307" t="e">
        <f t="shared" si="4"/>
        <v>#VALUE!</v>
      </c>
    </row>
    <row r="308" spans="3:6" x14ac:dyDescent="0.3">
      <c r="C308" t="str">
        <f>IFERROR(VLOOKUP(B308,Inventory!A:G,2,FALSE),"")</f>
        <v/>
      </c>
      <c r="E308" t="str">
        <f>IFERROR(VLOOKUP(B308,Inventory!A:G,4,FALSE),"")</f>
        <v/>
      </c>
      <c r="F308" t="e">
        <f t="shared" si="4"/>
        <v>#VALUE!</v>
      </c>
    </row>
    <row r="309" spans="3:6" x14ac:dyDescent="0.3">
      <c r="C309" t="str">
        <f>IFERROR(VLOOKUP(B309,Inventory!A:G,2,FALSE),"")</f>
        <v/>
      </c>
      <c r="E309" t="str">
        <f>IFERROR(VLOOKUP(B309,Inventory!A:G,4,FALSE),"")</f>
        <v/>
      </c>
      <c r="F309" t="e">
        <f t="shared" si="4"/>
        <v>#VALUE!</v>
      </c>
    </row>
    <row r="310" spans="3:6" x14ac:dyDescent="0.3">
      <c r="C310" t="str">
        <f>IFERROR(VLOOKUP(B310,Inventory!A:G,2,FALSE),"")</f>
        <v/>
      </c>
      <c r="E310" t="str">
        <f>IFERROR(VLOOKUP(B310,Inventory!A:G,4,FALSE),"")</f>
        <v/>
      </c>
      <c r="F310" t="e">
        <f t="shared" si="4"/>
        <v>#VALUE!</v>
      </c>
    </row>
    <row r="311" spans="3:6" x14ac:dyDescent="0.3">
      <c r="C311" t="str">
        <f>IFERROR(VLOOKUP(B311,Inventory!A:G,2,FALSE),"")</f>
        <v/>
      </c>
      <c r="E311" t="str">
        <f>IFERROR(VLOOKUP(B311,Inventory!A:G,4,FALSE),"")</f>
        <v/>
      </c>
      <c r="F311" t="e">
        <f t="shared" si="4"/>
        <v>#VALUE!</v>
      </c>
    </row>
    <row r="312" spans="3:6" x14ac:dyDescent="0.3">
      <c r="C312" t="str">
        <f>IFERROR(VLOOKUP(B312,Inventory!A:G,2,FALSE),"")</f>
        <v/>
      </c>
      <c r="E312" t="str">
        <f>IFERROR(VLOOKUP(B312,Inventory!A:G,4,FALSE),"")</f>
        <v/>
      </c>
      <c r="F312" t="e">
        <f t="shared" si="4"/>
        <v>#VALUE!</v>
      </c>
    </row>
    <row r="313" spans="3:6" x14ac:dyDescent="0.3">
      <c r="C313" t="str">
        <f>IFERROR(VLOOKUP(B313,Inventory!A:G,2,FALSE),"")</f>
        <v/>
      </c>
      <c r="E313" t="str">
        <f>IFERROR(VLOOKUP(B313,Inventory!A:G,4,FALSE),"")</f>
        <v/>
      </c>
      <c r="F313" t="e">
        <f t="shared" si="4"/>
        <v>#VALUE!</v>
      </c>
    </row>
    <row r="314" spans="3:6" x14ac:dyDescent="0.3">
      <c r="C314" t="str">
        <f>IFERROR(VLOOKUP(B314,Inventory!A:G,2,FALSE),"")</f>
        <v/>
      </c>
      <c r="E314" t="str">
        <f>IFERROR(VLOOKUP(B314,Inventory!A:G,4,FALSE),"")</f>
        <v/>
      </c>
      <c r="F314" t="e">
        <f t="shared" si="4"/>
        <v>#VALUE!</v>
      </c>
    </row>
    <row r="315" spans="3:6" x14ac:dyDescent="0.3">
      <c r="C315" t="str">
        <f>IFERROR(VLOOKUP(B315,Inventory!A:G,2,FALSE),"")</f>
        <v/>
      </c>
      <c r="E315" t="str">
        <f>IFERROR(VLOOKUP(B315,Inventory!A:G,4,FALSE),"")</f>
        <v/>
      </c>
      <c r="F315" t="e">
        <f t="shared" si="4"/>
        <v>#VALUE!</v>
      </c>
    </row>
    <row r="316" spans="3:6" x14ac:dyDescent="0.3">
      <c r="C316" t="str">
        <f>IFERROR(VLOOKUP(B316,Inventory!A:G,2,FALSE),"")</f>
        <v/>
      </c>
      <c r="E316" t="str">
        <f>IFERROR(VLOOKUP(B316,Inventory!A:G,4,FALSE),"")</f>
        <v/>
      </c>
      <c r="F316" t="e">
        <f t="shared" si="4"/>
        <v>#VALUE!</v>
      </c>
    </row>
    <row r="317" spans="3:6" x14ac:dyDescent="0.3">
      <c r="C317" t="str">
        <f>IFERROR(VLOOKUP(B317,Inventory!A:G,2,FALSE),"")</f>
        <v/>
      </c>
      <c r="E317" t="str">
        <f>IFERROR(VLOOKUP(B317,Inventory!A:G,4,FALSE),"")</f>
        <v/>
      </c>
      <c r="F317" t="e">
        <f t="shared" si="4"/>
        <v>#VALUE!</v>
      </c>
    </row>
    <row r="318" spans="3:6" x14ac:dyDescent="0.3">
      <c r="C318" t="str">
        <f>IFERROR(VLOOKUP(B318,Inventory!A:G,2,FALSE),"")</f>
        <v/>
      </c>
      <c r="E318" t="str">
        <f>IFERROR(VLOOKUP(B318,Inventory!A:G,4,FALSE),"")</f>
        <v/>
      </c>
      <c r="F318" t="e">
        <f t="shared" si="4"/>
        <v>#VALUE!</v>
      </c>
    </row>
    <row r="319" spans="3:6" x14ac:dyDescent="0.3">
      <c r="C319" t="str">
        <f>IFERROR(VLOOKUP(B319,Inventory!A:G,2,FALSE),"")</f>
        <v/>
      </c>
      <c r="E319" t="str">
        <f>IFERROR(VLOOKUP(B319,Inventory!A:G,4,FALSE),"")</f>
        <v/>
      </c>
      <c r="F319" t="e">
        <f t="shared" si="4"/>
        <v>#VALUE!</v>
      </c>
    </row>
    <row r="320" spans="3:6" x14ac:dyDescent="0.3">
      <c r="C320" t="str">
        <f>IFERROR(VLOOKUP(B320,Inventory!A:G,2,FALSE),"")</f>
        <v/>
      </c>
      <c r="E320" t="str">
        <f>IFERROR(VLOOKUP(B320,Inventory!A:G,4,FALSE),"")</f>
        <v/>
      </c>
      <c r="F320" t="e">
        <f t="shared" si="4"/>
        <v>#VALUE!</v>
      </c>
    </row>
    <row r="321" spans="3:6" x14ac:dyDescent="0.3">
      <c r="C321" t="str">
        <f>IFERROR(VLOOKUP(B321,Inventory!A:G,2,FALSE),"")</f>
        <v/>
      </c>
      <c r="E321" t="str">
        <f>IFERROR(VLOOKUP(B321,Inventory!A:G,4,FALSE),"")</f>
        <v/>
      </c>
      <c r="F321" t="e">
        <f t="shared" si="4"/>
        <v>#VALUE!</v>
      </c>
    </row>
    <row r="322" spans="3:6" x14ac:dyDescent="0.3">
      <c r="C322" t="str">
        <f>IFERROR(VLOOKUP(B322,Inventory!A:G,2,FALSE),"")</f>
        <v/>
      </c>
      <c r="E322" t="str">
        <f>IFERROR(VLOOKUP(B322,Inventory!A:G,4,FALSE),"")</f>
        <v/>
      </c>
      <c r="F322" t="e">
        <f t="shared" ref="F322:F385" si="5">D322*E322</f>
        <v>#VALUE!</v>
      </c>
    </row>
    <row r="323" spans="3:6" x14ac:dyDescent="0.3">
      <c r="C323" t="str">
        <f>IFERROR(VLOOKUP(B323,Inventory!A:G,2,FALSE),"")</f>
        <v/>
      </c>
      <c r="E323" t="str">
        <f>IFERROR(VLOOKUP(B323,Inventory!A:G,4,FALSE),"")</f>
        <v/>
      </c>
      <c r="F323" t="e">
        <f t="shared" si="5"/>
        <v>#VALUE!</v>
      </c>
    </row>
    <row r="324" spans="3:6" x14ac:dyDescent="0.3">
      <c r="C324" t="str">
        <f>IFERROR(VLOOKUP(B324,Inventory!A:G,2,FALSE),"")</f>
        <v/>
      </c>
      <c r="E324" t="str">
        <f>IFERROR(VLOOKUP(B324,Inventory!A:G,4,FALSE),"")</f>
        <v/>
      </c>
      <c r="F324" t="e">
        <f t="shared" si="5"/>
        <v>#VALUE!</v>
      </c>
    </row>
    <row r="325" spans="3:6" x14ac:dyDescent="0.3">
      <c r="C325" t="str">
        <f>IFERROR(VLOOKUP(B325,Inventory!A:G,2,FALSE),"")</f>
        <v/>
      </c>
      <c r="E325" t="str">
        <f>IFERROR(VLOOKUP(B325,Inventory!A:G,4,FALSE),"")</f>
        <v/>
      </c>
      <c r="F325" t="e">
        <f t="shared" si="5"/>
        <v>#VALUE!</v>
      </c>
    </row>
    <row r="326" spans="3:6" x14ac:dyDescent="0.3">
      <c r="C326" t="str">
        <f>IFERROR(VLOOKUP(B326,Inventory!A:G,2,FALSE),"")</f>
        <v/>
      </c>
      <c r="E326" t="str">
        <f>IFERROR(VLOOKUP(B326,Inventory!A:G,4,FALSE),"")</f>
        <v/>
      </c>
      <c r="F326" t="e">
        <f t="shared" si="5"/>
        <v>#VALUE!</v>
      </c>
    </row>
    <row r="327" spans="3:6" x14ac:dyDescent="0.3">
      <c r="C327" t="str">
        <f>IFERROR(VLOOKUP(B327,Inventory!A:G,2,FALSE),"")</f>
        <v/>
      </c>
      <c r="E327" t="str">
        <f>IFERROR(VLOOKUP(B327,Inventory!A:G,4,FALSE),"")</f>
        <v/>
      </c>
      <c r="F327" t="e">
        <f t="shared" si="5"/>
        <v>#VALUE!</v>
      </c>
    </row>
    <row r="328" spans="3:6" x14ac:dyDescent="0.3">
      <c r="C328" t="str">
        <f>IFERROR(VLOOKUP(B328,Inventory!A:G,2,FALSE),"")</f>
        <v/>
      </c>
      <c r="E328" t="str">
        <f>IFERROR(VLOOKUP(B328,Inventory!A:G,4,FALSE),"")</f>
        <v/>
      </c>
      <c r="F328" t="e">
        <f t="shared" si="5"/>
        <v>#VALUE!</v>
      </c>
    </row>
    <row r="329" spans="3:6" x14ac:dyDescent="0.3">
      <c r="C329" t="str">
        <f>IFERROR(VLOOKUP(B329,Inventory!A:G,2,FALSE),"")</f>
        <v/>
      </c>
      <c r="E329" t="str">
        <f>IFERROR(VLOOKUP(B329,Inventory!A:G,4,FALSE),"")</f>
        <v/>
      </c>
      <c r="F329" t="e">
        <f t="shared" si="5"/>
        <v>#VALUE!</v>
      </c>
    </row>
    <row r="330" spans="3:6" x14ac:dyDescent="0.3">
      <c r="C330" t="str">
        <f>IFERROR(VLOOKUP(B330,Inventory!A:G,2,FALSE),"")</f>
        <v/>
      </c>
      <c r="E330" t="str">
        <f>IFERROR(VLOOKUP(B330,Inventory!A:G,4,FALSE),"")</f>
        <v/>
      </c>
      <c r="F330" t="e">
        <f t="shared" si="5"/>
        <v>#VALUE!</v>
      </c>
    </row>
    <row r="331" spans="3:6" x14ac:dyDescent="0.3">
      <c r="C331" t="str">
        <f>IFERROR(VLOOKUP(B331,Inventory!A:G,2,FALSE),"")</f>
        <v/>
      </c>
      <c r="E331" t="str">
        <f>IFERROR(VLOOKUP(B331,Inventory!A:G,4,FALSE),"")</f>
        <v/>
      </c>
      <c r="F331" t="e">
        <f t="shared" si="5"/>
        <v>#VALUE!</v>
      </c>
    </row>
    <row r="332" spans="3:6" x14ac:dyDescent="0.3">
      <c r="C332" t="str">
        <f>IFERROR(VLOOKUP(B332,Inventory!A:G,2,FALSE),"")</f>
        <v/>
      </c>
      <c r="E332" t="str">
        <f>IFERROR(VLOOKUP(B332,Inventory!A:G,4,FALSE),"")</f>
        <v/>
      </c>
      <c r="F332" t="e">
        <f t="shared" si="5"/>
        <v>#VALUE!</v>
      </c>
    </row>
    <row r="333" spans="3:6" x14ac:dyDescent="0.3">
      <c r="C333" t="str">
        <f>IFERROR(VLOOKUP(B333,Inventory!A:G,2,FALSE),"")</f>
        <v/>
      </c>
      <c r="E333" t="str">
        <f>IFERROR(VLOOKUP(B333,Inventory!A:G,4,FALSE),"")</f>
        <v/>
      </c>
      <c r="F333" t="e">
        <f t="shared" si="5"/>
        <v>#VALUE!</v>
      </c>
    </row>
    <row r="334" spans="3:6" x14ac:dyDescent="0.3">
      <c r="C334" t="str">
        <f>IFERROR(VLOOKUP(B334,Inventory!A:G,2,FALSE),"")</f>
        <v/>
      </c>
      <c r="E334" t="str">
        <f>IFERROR(VLOOKUP(B334,Inventory!A:G,4,FALSE),"")</f>
        <v/>
      </c>
      <c r="F334" t="e">
        <f t="shared" si="5"/>
        <v>#VALUE!</v>
      </c>
    </row>
    <row r="335" spans="3:6" x14ac:dyDescent="0.3">
      <c r="C335" t="str">
        <f>IFERROR(VLOOKUP(B335,Inventory!A:G,2,FALSE),"")</f>
        <v/>
      </c>
      <c r="E335" t="str">
        <f>IFERROR(VLOOKUP(B335,Inventory!A:G,4,FALSE),"")</f>
        <v/>
      </c>
      <c r="F335" t="e">
        <f t="shared" si="5"/>
        <v>#VALUE!</v>
      </c>
    </row>
    <row r="336" spans="3:6" x14ac:dyDescent="0.3">
      <c r="C336" t="str">
        <f>IFERROR(VLOOKUP(B336,Inventory!A:G,2,FALSE),"")</f>
        <v/>
      </c>
      <c r="E336" t="str">
        <f>IFERROR(VLOOKUP(B336,Inventory!A:G,4,FALSE),"")</f>
        <v/>
      </c>
      <c r="F336" t="e">
        <f t="shared" si="5"/>
        <v>#VALUE!</v>
      </c>
    </row>
    <row r="337" spans="3:6" x14ac:dyDescent="0.3">
      <c r="C337" t="str">
        <f>IFERROR(VLOOKUP(B337,Inventory!A:G,2,FALSE),"")</f>
        <v/>
      </c>
      <c r="E337" t="str">
        <f>IFERROR(VLOOKUP(B337,Inventory!A:G,4,FALSE),"")</f>
        <v/>
      </c>
      <c r="F337" t="e">
        <f t="shared" si="5"/>
        <v>#VALUE!</v>
      </c>
    </row>
    <row r="338" spans="3:6" x14ac:dyDescent="0.3">
      <c r="C338" t="str">
        <f>IFERROR(VLOOKUP(B338,Inventory!A:G,2,FALSE),"")</f>
        <v/>
      </c>
      <c r="E338" t="str">
        <f>IFERROR(VLOOKUP(B338,Inventory!A:G,4,FALSE),"")</f>
        <v/>
      </c>
      <c r="F338" t="e">
        <f t="shared" si="5"/>
        <v>#VALUE!</v>
      </c>
    </row>
    <row r="339" spans="3:6" x14ac:dyDescent="0.3">
      <c r="C339" t="str">
        <f>IFERROR(VLOOKUP(B339,Inventory!A:G,2,FALSE),"")</f>
        <v/>
      </c>
      <c r="E339" t="str">
        <f>IFERROR(VLOOKUP(B339,Inventory!A:G,4,FALSE),"")</f>
        <v/>
      </c>
      <c r="F339" t="e">
        <f t="shared" si="5"/>
        <v>#VALUE!</v>
      </c>
    </row>
    <row r="340" spans="3:6" x14ac:dyDescent="0.3">
      <c r="C340" t="str">
        <f>IFERROR(VLOOKUP(B340,Inventory!A:G,2,FALSE),"")</f>
        <v/>
      </c>
      <c r="E340" t="str">
        <f>IFERROR(VLOOKUP(B340,Inventory!A:G,4,FALSE),"")</f>
        <v/>
      </c>
      <c r="F340" t="e">
        <f t="shared" si="5"/>
        <v>#VALUE!</v>
      </c>
    </row>
    <row r="341" spans="3:6" x14ac:dyDescent="0.3">
      <c r="C341" t="str">
        <f>IFERROR(VLOOKUP(B341,Inventory!A:G,2,FALSE),"")</f>
        <v/>
      </c>
      <c r="E341" t="str">
        <f>IFERROR(VLOOKUP(B341,Inventory!A:G,4,FALSE),"")</f>
        <v/>
      </c>
      <c r="F341" t="e">
        <f t="shared" si="5"/>
        <v>#VALUE!</v>
      </c>
    </row>
    <row r="342" spans="3:6" x14ac:dyDescent="0.3">
      <c r="C342" t="str">
        <f>IFERROR(VLOOKUP(B342,Inventory!A:G,2,FALSE),"")</f>
        <v/>
      </c>
      <c r="E342" t="str">
        <f>IFERROR(VLOOKUP(B342,Inventory!A:G,4,FALSE),"")</f>
        <v/>
      </c>
      <c r="F342" t="e">
        <f t="shared" si="5"/>
        <v>#VALUE!</v>
      </c>
    </row>
    <row r="343" spans="3:6" x14ac:dyDescent="0.3">
      <c r="C343" t="str">
        <f>IFERROR(VLOOKUP(B343,Inventory!A:G,2,FALSE),"")</f>
        <v/>
      </c>
      <c r="E343" t="str">
        <f>IFERROR(VLOOKUP(B343,Inventory!A:G,4,FALSE),"")</f>
        <v/>
      </c>
      <c r="F343" t="e">
        <f t="shared" si="5"/>
        <v>#VALUE!</v>
      </c>
    </row>
    <row r="344" spans="3:6" x14ac:dyDescent="0.3">
      <c r="C344" t="str">
        <f>IFERROR(VLOOKUP(B344,Inventory!A:G,2,FALSE),"")</f>
        <v/>
      </c>
      <c r="E344" t="str">
        <f>IFERROR(VLOOKUP(B344,Inventory!A:G,4,FALSE),"")</f>
        <v/>
      </c>
      <c r="F344" t="e">
        <f t="shared" si="5"/>
        <v>#VALUE!</v>
      </c>
    </row>
    <row r="345" spans="3:6" x14ac:dyDescent="0.3">
      <c r="C345" t="str">
        <f>IFERROR(VLOOKUP(B345,Inventory!A:G,2,FALSE),"")</f>
        <v/>
      </c>
      <c r="E345" t="str">
        <f>IFERROR(VLOOKUP(B345,Inventory!A:G,4,FALSE),"")</f>
        <v/>
      </c>
      <c r="F345" t="e">
        <f t="shared" si="5"/>
        <v>#VALUE!</v>
      </c>
    </row>
    <row r="346" spans="3:6" x14ac:dyDescent="0.3">
      <c r="C346" t="str">
        <f>IFERROR(VLOOKUP(B346,Inventory!A:G,2,FALSE),"")</f>
        <v/>
      </c>
      <c r="E346" t="str">
        <f>IFERROR(VLOOKUP(B346,Inventory!A:G,4,FALSE),"")</f>
        <v/>
      </c>
      <c r="F346" t="e">
        <f t="shared" si="5"/>
        <v>#VALUE!</v>
      </c>
    </row>
    <row r="347" spans="3:6" x14ac:dyDescent="0.3">
      <c r="C347" t="str">
        <f>IFERROR(VLOOKUP(B347,Inventory!A:G,2,FALSE),"")</f>
        <v/>
      </c>
      <c r="E347" t="str">
        <f>IFERROR(VLOOKUP(B347,Inventory!A:G,4,FALSE),"")</f>
        <v/>
      </c>
      <c r="F347" t="e">
        <f t="shared" si="5"/>
        <v>#VALUE!</v>
      </c>
    </row>
    <row r="348" spans="3:6" x14ac:dyDescent="0.3">
      <c r="C348" t="str">
        <f>IFERROR(VLOOKUP(B348,Inventory!A:G,2,FALSE),"")</f>
        <v/>
      </c>
      <c r="E348" t="str">
        <f>IFERROR(VLOOKUP(B348,Inventory!A:G,4,FALSE),"")</f>
        <v/>
      </c>
      <c r="F348" t="e">
        <f t="shared" si="5"/>
        <v>#VALUE!</v>
      </c>
    </row>
    <row r="349" spans="3:6" x14ac:dyDescent="0.3">
      <c r="C349" t="str">
        <f>IFERROR(VLOOKUP(B349,Inventory!A:G,2,FALSE),"")</f>
        <v/>
      </c>
      <c r="E349" t="str">
        <f>IFERROR(VLOOKUP(B349,Inventory!A:G,4,FALSE),"")</f>
        <v/>
      </c>
      <c r="F349" t="e">
        <f t="shared" si="5"/>
        <v>#VALUE!</v>
      </c>
    </row>
    <row r="350" spans="3:6" x14ac:dyDescent="0.3">
      <c r="C350" t="str">
        <f>IFERROR(VLOOKUP(B350,Inventory!A:G,2,FALSE),"")</f>
        <v/>
      </c>
      <c r="E350" t="str">
        <f>IFERROR(VLOOKUP(B350,Inventory!A:G,4,FALSE),"")</f>
        <v/>
      </c>
      <c r="F350" t="e">
        <f t="shared" si="5"/>
        <v>#VALUE!</v>
      </c>
    </row>
    <row r="351" spans="3:6" x14ac:dyDescent="0.3">
      <c r="C351" t="str">
        <f>IFERROR(VLOOKUP(B351,Inventory!A:G,2,FALSE),"")</f>
        <v/>
      </c>
      <c r="E351" t="str">
        <f>IFERROR(VLOOKUP(B351,Inventory!A:G,4,FALSE),"")</f>
        <v/>
      </c>
      <c r="F351" t="e">
        <f t="shared" si="5"/>
        <v>#VALUE!</v>
      </c>
    </row>
    <row r="352" spans="3:6" x14ac:dyDescent="0.3">
      <c r="C352" t="str">
        <f>IFERROR(VLOOKUP(B352,Inventory!A:G,2,FALSE),"")</f>
        <v/>
      </c>
      <c r="E352" t="str">
        <f>IFERROR(VLOOKUP(B352,Inventory!A:G,4,FALSE),"")</f>
        <v/>
      </c>
      <c r="F352" t="e">
        <f t="shared" si="5"/>
        <v>#VALUE!</v>
      </c>
    </row>
    <row r="353" spans="3:6" x14ac:dyDescent="0.3">
      <c r="C353" t="str">
        <f>IFERROR(VLOOKUP(B353,Inventory!A:G,2,FALSE),"")</f>
        <v/>
      </c>
      <c r="E353" t="str">
        <f>IFERROR(VLOOKUP(B353,Inventory!A:G,4,FALSE),"")</f>
        <v/>
      </c>
      <c r="F353" t="e">
        <f t="shared" si="5"/>
        <v>#VALUE!</v>
      </c>
    </row>
    <row r="354" spans="3:6" x14ac:dyDescent="0.3">
      <c r="C354" t="str">
        <f>IFERROR(VLOOKUP(B354,Inventory!A:G,2,FALSE),"")</f>
        <v/>
      </c>
      <c r="E354" t="str">
        <f>IFERROR(VLOOKUP(B354,Inventory!A:G,4,FALSE),"")</f>
        <v/>
      </c>
      <c r="F354" t="e">
        <f t="shared" si="5"/>
        <v>#VALUE!</v>
      </c>
    </row>
    <row r="355" spans="3:6" x14ac:dyDescent="0.3">
      <c r="C355" t="str">
        <f>IFERROR(VLOOKUP(B355,Inventory!A:G,2,FALSE),"")</f>
        <v/>
      </c>
      <c r="E355" t="str">
        <f>IFERROR(VLOOKUP(B355,Inventory!A:G,4,FALSE),"")</f>
        <v/>
      </c>
      <c r="F355" t="e">
        <f t="shared" si="5"/>
        <v>#VALUE!</v>
      </c>
    </row>
    <row r="356" spans="3:6" x14ac:dyDescent="0.3">
      <c r="C356" t="str">
        <f>IFERROR(VLOOKUP(B356,Inventory!A:G,2,FALSE),"")</f>
        <v/>
      </c>
      <c r="E356" t="str">
        <f>IFERROR(VLOOKUP(B356,Inventory!A:G,4,FALSE),"")</f>
        <v/>
      </c>
      <c r="F356" t="e">
        <f t="shared" si="5"/>
        <v>#VALUE!</v>
      </c>
    </row>
    <row r="357" spans="3:6" x14ac:dyDescent="0.3">
      <c r="C357" t="str">
        <f>IFERROR(VLOOKUP(B357,Inventory!A:G,2,FALSE),"")</f>
        <v/>
      </c>
      <c r="E357" t="str">
        <f>IFERROR(VLOOKUP(B357,Inventory!A:G,4,FALSE),"")</f>
        <v/>
      </c>
      <c r="F357" t="e">
        <f t="shared" si="5"/>
        <v>#VALUE!</v>
      </c>
    </row>
    <row r="358" spans="3:6" x14ac:dyDescent="0.3">
      <c r="C358" t="str">
        <f>IFERROR(VLOOKUP(B358,Inventory!A:G,2,FALSE),"")</f>
        <v/>
      </c>
      <c r="E358" t="str">
        <f>IFERROR(VLOOKUP(B358,Inventory!A:G,4,FALSE),"")</f>
        <v/>
      </c>
      <c r="F358" t="e">
        <f t="shared" si="5"/>
        <v>#VALUE!</v>
      </c>
    </row>
    <row r="359" spans="3:6" x14ac:dyDescent="0.3">
      <c r="C359" t="str">
        <f>IFERROR(VLOOKUP(B359,Inventory!A:G,2,FALSE),"")</f>
        <v/>
      </c>
      <c r="E359" t="str">
        <f>IFERROR(VLOOKUP(B359,Inventory!A:G,4,FALSE),"")</f>
        <v/>
      </c>
      <c r="F359" t="e">
        <f t="shared" si="5"/>
        <v>#VALUE!</v>
      </c>
    </row>
    <row r="360" spans="3:6" x14ac:dyDescent="0.3">
      <c r="C360" t="str">
        <f>IFERROR(VLOOKUP(B360,Inventory!A:G,2,FALSE),"")</f>
        <v/>
      </c>
      <c r="E360" t="str">
        <f>IFERROR(VLOOKUP(B360,Inventory!A:G,4,FALSE),"")</f>
        <v/>
      </c>
      <c r="F360" t="e">
        <f t="shared" si="5"/>
        <v>#VALUE!</v>
      </c>
    </row>
    <row r="361" spans="3:6" x14ac:dyDescent="0.3">
      <c r="C361" t="str">
        <f>IFERROR(VLOOKUP(B361,Inventory!A:G,2,FALSE),"")</f>
        <v/>
      </c>
      <c r="E361" t="str">
        <f>IFERROR(VLOOKUP(B361,Inventory!A:G,4,FALSE),"")</f>
        <v/>
      </c>
      <c r="F361" t="e">
        <f t="shared" si="5"/>
        <v>#VALUE!</v>
      </c>
    </row>
    <row r="362" spans="3:6" x14ac:dyDescent="0.3">
      <c r="C362" t="str">
        <f>IFERROR(VLOOKUP(B362,Inventory!A:G,2,FALSE),"")</f>
        <v/>
      </c>
      <c r="E362" t="str">
        <f>IFERROR(VLOOKUP(B362,Inventory!A:G,4,FALSE),"")</f>
        <v/>
      </c>
      <c r="F362" t="e">
        <f t="shared" si="5"/>
        <v>#VALUE!</v>
      </c>
    </row>
    <row r="363" spans="3:6" x14ac:dyDescent="0.3">
      <c r="C363" t="str">
        <f>IFERROR(VLOOKUP(B363,Inventory!A:G,2,FALSE),"")</f>
        <v/>
      </c>
      <c r="E363" t="str">
        <f>IFERROR(VLOOKUP(B363,Inventory!A:G,4,FALSE),"")</f>
        <v/>
      </c>
      <c r="F363" t="e">
        <f t="shared" si="5"/>
        <v>#VALUE!</v>
      </c>
    </row>
    <row r="364" spans="3:6" x14ac:dyDescent="0.3">
      <c r="C364" t="str">
        <f>IFERROR(VLOOKUP(B364,Inventory!A:G,2,FALSE),"")</f>
        <v/>
      </c>
      <c r="E364" t="str">
        <f>IFERROR(VLOOKUP(B364,Inventory!A:G,4,FALSE),"")</f>
        <v/>
      </c>
      <c r="F364" t="e">
        <f t="shared" si="5"/>
        <v>#VALUE!</v>
      </c>
    </row>
    <row r="365" spans="3:6" x14ac:dyDescent="0.3">
      <c r="C365" t="str">
        <f>IFERROR(VLOOKUP(B365,Inventory!A:G,2,FALSE),"")</f>
        <v/>
      </c>
      <c r="E365" t="str">
        <f>IFERROR(VLOOKUP(B365,Inventory!A:G,4,FALSE),"")</f>
        <v/>
      </c>
      <c r="F365" t="e">
        <f t="shared" si="5"/>
        <v>#VALUE!</v>
      </c>
    </row>
    <row r="366" spans="3:6" x14ac:dyDescent="0.3">
      <c r="C366" t="str">
        <f>IFERROR(VLOOKUP(B366,Inventory!A:G,2,FALSE),"")</f>
        <v/>
      </c>
      <c r="E366" t="str">
        <f>IFERROR(VLOOKUP(B366,Inventory!A:G,4,FALSE),"")</f>
        <v/>
      </c>
      <c r="F366" t="e">
        <f t="shared" si="5"/>
        <v>#VALUE!</v>
      </c>
    </row>
    <row r="367" spans="3:6" x14ac:dyDescent="0.3">
      <c r="C367" t="str">
        <f>IFERROR(VLOOKUP(B367,Inventory!A:G,2,FALSE),"")</f>
        <v/>
      </c>
      <c r="E367" t="str">
        <f>IFERROR(VLOOKUP(B367,Inventory!A:G,4,FALSE),"")</f>
        <v/>
      </c>
      <c r="F367" t="e">
        <f t="shared" si="5"/>
        <v>#VALUE!</v>
      </c>
    </row>
    <row r="368" spans="3:6" x14ac:dyDescent="0.3">
      <c r="C368" t="str">
        <f>IFERROR(VLOOKUP(B368,Inventory!A:G,2,FALSE),"")</f>
        <v/>
      </c>
      <c r="E368" t="str">
        <f>IFERROR(VLOOKUP(B368,Inventory!A:G,4,FALSE),"")</f>
        <v/>
      </c>
      <c r="F368" t="e">
        <f t="shared" si="5"/>
        <v>#VALUE!</v>
      </c>
    </row>
    <row r="369" spans="3:6" x14ac:dyDescent="0.3">
      <c r="C369" t="str">
        <f>IFERROR(VLOOKUP(B369,Inventory!A:G,2,FALSE),"")</f>
        <v/>
      </c>
      <c r="E369" t="str">
        <f>IFERROR(VLOOKUP(B369,Inventory!A:G,4,FALSE),"")</f>
        <v/>
      </c>
      <c r="F369" t="e">
        <f t="shared" si="5"/>
        <v>#VALUE!</v>
      </c>
    </row>
    <row r="370" spans="3:6" x14ac:dyDescent="0.3">
      <c r="C370" t="str">
        <f>IFERROR(VLOOKUP(B370,Inventory!A:G,2,FALSE),"")</f>
        <v/>
      </c>
      <c r="E370" t="str">
        <f>IFERROR(VLOOKUP(B370,Inventory!A:G,4,FALSE),"")</f>
        <v/>
      </c>
      <c r="F370" t="e">
        <f t="shared" si="5"/>
        <v>#VALUE!</v>
      </c>
    </row>
    <row r="371" spans="3:6" x14ac:dyDescent="0.3">
      <c r="C371" t="str">
        <f>IFERROR(VLOOKUP(B371,Inventory!A:G,2,FALSE),"")</f>
        <v/>
      </c>
      <c r="E371" t="str">
        <f>IFERROR(VLOOKUP(B371,Inventory!A:G,4,FALSE),"")</f>
        <v/>
      </c>
      <c r="F371" t="e">
        <f t="shared" si="5"/>
        <v>#VALUE!</v>
      </c>
    </row>
    <row r="372" spans="3:6" x14ac:dyDescent="0.3">
      <c r="C372" t="str">
        <f>IFERROR(VLOOKUP(B372,Inventory!A:G,2,FALSE),"")</f>
        <v/>
      </c>
      <c r="E372" t="str">
        <f>IFERROR(VLOOKUP(B372,Inventory!A:G,4,FALSE),"")</f>
        <v/>
      </c>
      <c r="F372" t="e">
        <f t="shared" si="5"/>
        <v>#VALUE!</v>
      </c>
    </row>
    <row r="373" spans="3:6" x14ac:dyDescent="0.3">
      <c r="C373" t="str">
        <f>IFERROR(VLOOKUP(B373,Inventory!A:G,2,FALSE),"")</f>
        <v/>
      </c>
      <c r="E373" t="str">
        <f>IFERROR(VLOOKUP(B373,Inventory!A:G,4,FALSE),"")</f>
        <v/>
      </c>
      <c r="F373" t="e">
        <f t="shared" si="5"/>
        <v>#VALUE!</v>
      </c>
    </row>
    <row r="374" spans="3:6" x14ac:dyDescent="0.3">
      <c r="C374" t="str">
        <f>IFERROR(VLOOKUP(B374,Inventory!A:G,2,FALSE),"")</f>
        <v/>
      </c>
      <c r="E374" t="str">
        <f>IFERROR(VLOOKUP(B374,Inventory!A:G,4,FALSE),"")</f>
        <v/>
      </c>
      <c r="F374" t="e">
        <f t="shared" si="5"/>
        <v>#VALUE!</v>
      </c>
    </row>
    <row r="375" spans="3:6" x14ac:dyDescent="0.3">
      <c r="C375" t="str">
        <f>IFERROR(VLOOKUP(B375,Inventory!A:G,2,FALSE),"")</f>
        <v/>
      </c>
      <c r="E375" t="str">
        <f>IFERROR(VLOOKUP(B375,Inventory!A:G,4,FALSE),"")</f>
        <v/>
      </c>
      <c r="F375" t="e">
        <f t="shared" si="5"/>
        <v>#VALUE!</v>
      </c>
    </row>
    <row r="376" spans="3:6" x14ac:dyDescent="0.3">
      <c r="C376" t="str">
        <f>IFERROR(VLOOKUP(B376,Inventory!A:G,2,FALSE),"")</f>
        <v/>
      </c>
      <c r="E376" t="str">
        <f>IFERROR(VLOOKUP(B376,Inventory!A:G,4,FALSE),"")</f>
        <v/>
      </c>
      <c r="F376" t="e">
        <f t="shared" si="5"/>
        <v>#VALUE!</v>
      </c>
    </row>
    <row r="377" spans="3:6" x14ac:dyDescent="0.3">
      <c r="C377" t="str">
        <f>IFERROR(VLOOKUP(B377,Inventory!A:G,2,FALSE),"")</f>
        <v/>
      </c>
      <c r="E377" t="str">
        <f>IFERROR(VLOOKUP(B377,Inventory!A:G,4,FALSE),"")</f>
        <v/>
      </c>
      <c r="F377" t="e">
        <f t="shared" si="5"/>
        <v>#VALUE!</v>
      </c>
    </row>
    <row r="378" spans="3:6" x14ac:dyDescent="0.3">
      <c r="C378" t="str">
        <f>IFERROR(VLOOKUP(B378,Inventory!A:G,2,FALSE),"")</f>
        <v/>
      </c>
      <c r="E378" t="str">
        <f>IFERROR(VLOOKUP(B378,Inventory!A:G,4,FALSE),"")</f>
        <v/>
      </c>
      <c r="F378" t="e">
        <f t="shared" si="5"/>
        <v>#VALUE!</v>
      </c>
    </row>
    <row r="379" spans="3:6" x14ac:dyDescent="0.3">
      <c r="C379" t="str">
        <f>IFERROR(VLOOKUP(B379,Inventory!A:G,2,FALSE),"")</f>
        <v/>
      </c>
      <c r="E379" t="str">
        <f>IFERROR(VLOOKUP(B379,Inventory!A:G,4,FALSE),"")</f>
        <v/>
      </c>
      <c r="F379" t="e">
        <f t="shared" si="5"/>
        <v>#VALUE!</v>
      </c>
    </row>
    <row r="380" spans="3:6" x14ac:dyDescent="0.3">
      <c r="C380" t="str">
        <f>IFERROR(VLOOKUP(B380,Inventory!A:G,2,FALSE),"")</f>
        <v/>
      </c>
      <c r="E380" t="str">
        <f>IFERROR(VLOOKUP(B380,Inventory!A:G,4,FALSE),"")</f>
        <v/>
      </c>
      <c r="F380" t="e">
        <f t="shared" si="5"/>
        <v>#VALUE!</v>
      </c>
    </row>
    <row r="381" spans="3:6" x14ac:dyDescent="0.3">
      <c r="C381" t="str">
        <f>IFERROR(VLOOKUP(B381,Inventory!A:G,2,FALSE),"")</f>
        <v/>
      </c>
      <c r="E381" t="str">
        <f>IFERROR(VLOOKUP(B381,Inventory!A:G,4,FALSE),"")</f>
        <v/>
      </c>
      <c r="F381" t="e">
        <f t="shared" si="5"/>
        <v>#VALUE!</v>
      </c>
    </row>
    <row r="382" spans="3:6" x14ac:dyDescent="0.3">
      <c r="C382" t="str">
        <f>IFERROR(VLOOKUP(B382,Inventory!A:G,2,FALSE),"")</f>
        <v/>
      </c>
      <c r="E382" t="str">
        <f>IFERROR(VLOOKUP(B382,Inventory!A:G,4,FALSE),"")</f>
        <v/>
      </c>
      <c r="F382" t="e">
        <f t="shared" si="5"/>
        <v>#VALUE!</v>
      </c>
    </row>
    <row r="383" spans="3:6" x14ac:dyDescent="0.3">
      <c r="C383" t="str">
        <f>IFERROR(VLOOKUP(B383,Inventory!A:G,2,FALSE),"")</f>
        <v/>
      </c>
      <c r="E383" t="str">
        <f>IFERROR(VLOOKUP(B383,Inventory!A:G,4,FALSE),"")</f>
        <v/>
      </c>
      <c r="F383" t="e">
        <f t="shared" si="5"/>
        <v>#VALUE!</v>
      </c>
    </row>
    <row r="384" spans="3:6" x14ac:dyDescent="0.3">
      <c r="C384" t="str">
        <f>IFERROR(VLOOKUP(B384,Inventory!A:G,2,FALSE),"")</f>
        <v/>
      </c>
      <c r="E384" t="str">
        <f>IFERROR(VLOOKUP(B384,Inventory!A:G,4,FALSE),"")</f>
        <v/>
      </c>
      <c r="F384" t="e">
        <f t="shared" si="5"/>
        <v>#VALUE!</v>
      </c>
    </row>
    <row r="385" spans="3:6" x14ac:dyDescent="0.3">
      <c r="C385" t="str">
        <f>IFERROR(VLOOKUP(B385,Inventory!A:G,2,FALSE),"")</f>
        <v/>
      </c>
      <c r="E385" t="str">
        <f>IFERROR(VLOOKUP(B385,Inventory!A:G,4,FALSE),"")</f>
        <v/>
      </c>
      <c r="F385" t="e">
        <f t="shared" si="5"/>
        <v>#VALUE!</v>
      </c>
    </row>
    <row r="386" spans="3:6" x14ac:dyDescent="0.3">
      <c r="C386" t="str">
        <f>IFERROR(VLOOKUP(B386,Inventory!A:G,2,FALSE),"")</f>
        <v/>
      </c>
      <c r="E386" t="str">
        <f>IFERROR(VLOOKUP(B386,Inventory!A:G,4,FALSE),"")</f>
        <v/>
      </c>
      <c r="F386" t="e">
        <f t="shared" ref="F386:F449" si="6">D386*E386</f>
        <v>#VALUE!</v>
      </c>
    </row>
    <row r="387" spans="3:6" x14ac:dyDescent="0.3">
      <c r="C387" t="str">
        <f>IFERROR(VLOOKUP(B387,Inventory!A:G,2,FALSE),"")</f>
        <v/>
      </c>
      <c r="E387" t="str">
        <f>IFERROR(VLOOKUP(B387,Inventory!A:G,4,FALSE),"")</f>
        <v/>
      </c>
      <c r="F387" t="e">
        <f t="shared" si="6"/>
        <v>#VALUE!</v>
      </c>
    </row>
    <row r="388" spans="3:6" x14ac:dyDescent="0.3">
      <c r="C388" t="str">
        <f>IFERROR(VLOOKUP(B388,Inventory!A:G,2,FALSE),"")</f>
        <v/>
      </c>
      <c r="E388" t="str">
        <f>IFERROR(VLOOKUP(B388,Inventory!A:G,4,FALSE),"")</f>
        <v/>
      </c>
      <c r="F388" t="e">
        <f t="shared" si="6"/>
        <v>#VALUE!</v>
      </c>
    </row>
    <row r="389" spans="3:6" x14ac:dyDescent="0.3">
      <c r="C389" t="str">
        <f>IFERROR(VLOOKUP(B389,Inventory!A:G,2,FALSE),"")</f>
        <v/>
      </c>
      <c r="E389" t="str">
        <f>IFERROR(VLOOKUP(B389,Inventory!A:G,4,FALSE),"")</f>
        <v/>
      </c>
      <c r="F389" t="e">
        <f t="shared" si="6"/>
        <v>#VALUE!</v>
      </c>
    </row>
    <row r="390" spans="3:6" x14ac:dyDescent="0.3">
      <c r="C390" t="str">
        <f>IFERROR(VLOOKUP(B390,Inventory!A:G,2,FALSE),"")</f>
        <v/>
      </c>
      <c r="E390" t="str">
        <f>IFERROR(VLOOKUP(B390,Inventory!A:G,4,FALSE),"")</f>
        <v/>
      </c>
      <c r="F390" t="e">
        <f t="shared" si="6"/>
        <v>#VALUE!</v>
      </c>
    </row>
    <row r="391" spans="3:6" x14ac:dyDescent="0.3">
      <c r="C391" t="str">
        <f>IFERROR(VLOOKUP(B391,Inventory!A:G,2,FALSE),"")</f>
        <v/>
      </c>
      <c r="E391" t="str">
        <f>IFERROR(VLOOKUP(B391,Inventory!A:G,4,FALSE),"")</f>
        <v/>
      </c>
      <c r="F391" t="e">
        <f t="shared" si="6"/>
        <v>#VALUE!</v>
      </c>
    </row>
    <row r="392" spans="3:6" x14ac:dyDescent="0.3">
      <c r="C392" t="str">
        <f>IFERROR(VLOOKUP(B392,Inventory!A:G,2,FALSE),"")</f>
        <v/>
      </c>
      <c r="E392" t="str">
        <f>IFERROR(VLOOKUP(B392,Inventory!A:G,4,FALSE),"")</f>
        <v/>
      </c>
      <c r="F392" t="e">
        <f t="shared" si="6"/>
        <v>#VALUE!</v>
      </c>
    </row>
    <row r="393" spans="3:6" x14ac:dyDescent="0.3">
      <c r="C393" t="str">
        <f>IFERROR(VLOOKUP(B393,Inventory!A:G,2,FALSE),"")</f>
        <v/>
      </c>
      <c r="E393" t="str">
        <f>IFERROR(VLOOKUP(B393,Inventory!A:G,4,FALSE),"")</f>
        <v/>
      </c>
      <c r="F393" t="e">
        <f t="shared" si="6"/>
        <v>#VALUE!</v>
      </c>
    </row>
    <row r="394" spans="3:6" x14ac:dyDescent="0.3">
      <c r="C394" t="str">
        <f>IFERROR(VLOOKUP(B394,Inventory!A:G,2,FALSE),"")</f>
        <v/>
      </c>
      <c r="E394" t="str">
        <f>IFERROR(VLOOKUP(B394,Inventory!A:G,4,FALSE),"")</f>
        <v/>
      </c>
      <c r="F394" t="e">
        <f t="shared" si="6"/>
        <v>#VALUE!</v>
      </c>
    </row>
    <row r="395" spans="3:6" x14ac:dyDescent="0.3">
      <c r="C395" t="str">
        <f>IFERROR(VLOOKUP(B395,Inventory!A:G,2,FALSE),"")</f>
        <v/>
      </c>
      <c r="E395" t="str">
        <f>IFERROR(VLOOKUP(B395,Inventory!A:G,4,FALSE),"")</f>
        <v/>
      </c>
      <c r="F395" t="e">
        <f t="shared" si="6"/>
        <v>#VALUE!</v>
      </c>
    </row>
    <row r="396" spans="3:6" x14ac:dyDescent="0.3">
      <c r="C396" t="str">
        <f>IFERROR(VLOOKUP(B396,Inventory!A:G,2,FALSE),"")</f>
        <v/>
      </c>
      <c r="E396" t="str">
        <f>IFERROR(VLOOKUP(B396,Inventory!A:G,4,FALSE),"")</f>
        <v/>
      </c>
      <c r="F396" t="e">
        <f t="shared" si="6"/>
        <v>#VALUE!</v>
      </c>
    </row>
    <row r="397" spans="3:6" x14ac:dyDescent="0.3">
      <c r="C397" t="str">
        <f>IFERROR(VLOOKUP(B397,Inventory!A:G,2,FALSE),"")</f>
        <v/>
      </c>
      <c r="E397" t="str">
        <f>IFERROR(VLOOKUP(B397,Inventory!A:G,4,FALSE),"")</f>
        <v/>
      </c>
      <c r="F397" t="e">
        <f t="shared" si="6"/>
        <v>#VALUE!</v>
      </c>
    </row>
    <row r="398" spans="3:6" x14ac:dyDescent="0.3">
      <c r="C398" t="str">
        <f>IFERROR(VLOOKUP(B398,Inventory!A:G,2,FALSE),"")</f>
        <v/>
      </c>
      <c r="E398" t="str">
        <f>IFERROR(VLOOKUP(B398,Inventory!A:G,4,FALSE),"")</f>
        <v/>
      </c>
      <c r="F398" t="e">
        <f t="shared" si="6"/>
        <v>#VALUE!</v>
      </c>
    </row>
    <row r="399" spans="3:6" x14ac:dyDescent="0.3">
      <c r="C399" t="str">
        <f>IFERROR(VLOOKUP(B399,Inventory!A:G,2,FALSE),"")</f>
        <v/>
      </c>
      <c r="E399" t="str">
        <f>IFERROR(VLOOKUP(B399,Inventory!A:G,4,FALSE),"")</f>
        <v/>
      </c>
      <c r="F399" t="e">
        <f t="shared" si="6"/>
        <v>#VALUE!</v>
      </c>
    </row>
    <row r="400" spans="3:6" x14ac:dyDescent="0.3">
      <c r="C400" t="str">
        <f>IFERROR(VLOOKUP(B400,Inventory!A:G,2,FALSE),"")</f>
        <v/>
      </c>
      <c r="E400" t="str">
        <f>IFERROR(VLOOKUP(B400,Inventory!A:G,4,FALSE),"")</f>
        <v/>
      </c>
      <c r="F400" t="e">
        <f t="shared" si="6"/>
        <v>#VALUE!</v>
      </c>
    </row>
    <row r="401" spans="3:6" x14ac:dyDescent="0.3">
      <c r="C401" t="str">
        <f>IFERROR(VLOOKUP(B401,Inventory!A:G,2,FALSE),"")</f>
        <v/>
      </c>
      <c r="E401" t="str">
        <f>IFERROR(VLOOKUP(B401,Inventory!A:G,4,FALSE),"")</f>
        <v/>
      </c>
      <c r="F401" t="e">
        <f t="shared" si="6"/>
        <v>#VALUE!</v>
      </c>
    </row>
    <row r="402" spans="3:6" x14ac:dyDescent="0.3">
      <c r="C402" t="str">
        <f>IFERROR(VLOOKUP(B402,Inventory!A:G,2,FALSE),"")</f>
        <v/>
      </c>
      <c r="E402" t="str">
        <f>IFERROR(VLOOKUP(B402,Inventory!A:G,4,FALSE),"")</f>
        <v/>
      </c>
      <c r="F402" t="e">
        <f t="shared" si="6"/>
        <v>#VALUE!</v>
      </c>
    </row>
    <row r="403" spans="3:6" x14ac:dyDescent="0.3">
      <c r="C403" t="str">
        <f>IFERROR(VLOOKUP(B403,Inventory!A:G,2,FALSE),"")</f>
        <v/>
      </c>
      <c r="E403" t="str">
        <f>IFERROR(VLOOKUP(B403,Inventory!A:G,4,FALSE),"")</f>
        <v/>
      </c>
      <c r="F403" t="e">
        <f t="shared" si="6"/>
        <v>#VALUE!</v>
      </c>
    </row>
    <row r="404" spans="3:6" x14ac:dyDescent="0.3">
      <c r="C404" t="str">
        <f>IFERROR(VLOOKUP(B404,Inventory!A:G,2,FALSE),"")</f>
        <v/>
      </c>
      <c r="E404" t="str">
        <f>IFERROR(VLOOKUP(B404,Inventory!A:G,4,FALSE),"")</f>
        <v/>
      </c>
      <c r="F404" t="e">
        <f t="shared" si="6"/>
        <v>#VALUE!</v>
      </c>
    </row>
    <row r="405" spans="3:6" x14ac:dyDescent="0.3">
      <c r="C405" t="str">
        <f>IFERROR(VLOOKUP(B405,Inventory!A:G,2,FALSE),"")</f>
        <v/>
      </c>
      <c r="E405" t="str">
        <f>IFERROR(VLOOKUP(B405,Inventory!A:G,4,FALSE),"")</f>
        <v/>
      </c>
      <c r="F405" t="e">
        <f t="shared" si="6"/>
        <v>#VALUE!</v>
      </c>
    </row>
    <row r="406" spans="3:6" x14ac:dyDescent="0.3">
      <c r="C406" t="str">
        <f>IFERROR(VLOOKUP(B406,Inventory!A:G,2,FALSE),"")</f>
        <v/>
      </c>
      <c r="E406" t="str">
        <f>IFERROR(VLOOKUP(B406,Inventory!A:G,4,FALSE),"")</f>
        <v/>
      </c>
      <c r="F406" t="e">
        <f t="shared" si="6"/>
        <v>#VALUE!</v>
      </c>
    </row>
    <row r="407" spans="3:6" x14ac:dyDescent="0.3">
      <c r="C407" t="str">
        <f>IFERROR(VLOOKUP(B407,Inventory!A:G,2,FALSE),"")</f>
        <v/>
      </c>
      <c r="E407" t="str">
        <f>IFERROR(VLOOKUP(B407,Inventory!A:G,4,FALSE),"")</f>
        <v/>
      </c>
      <c r="F407" t="e">
        <f t="shared" si="6"/>
        <v>#VALUE!</v>
      </c>
    </row>
    <row r="408" spans="3:6" x14ac:dyDescent="0.3">
      <c r="C408" t="str">
        <f>IFERROR(VLOOKUP(B408,Inventory!A:G,2,FALSE),"")</f>
        <v/>
      </c>
      <c r="E408" t="str">
        <f>IFERROR(VLOOKUP(B408,Inventory!A:G,4,FALSE),"")</f>
        <v/>
      </c>
      <c r="F408" t="e">
        <f t="shared" si="6"/>
        <v>#VALUE!</v>
      </c>
    </row>
    <row r="409" spans="3:6" x14ac:dyDescent="0.3">
      <c r="C409" t="str">
        <f>IFERROR(VLOOKUP(B409,Inventory!A:G,2,FALSE),"")</f>
        <v/>
      </c>
      <c r="E409" t="str">
        <f>IFERROR(VLOOKUP(B409,Inventory!A:G,4,FALSE),"")</f>
        <v/>
      </c>
      <c r="F409" t="e">
        <f t="shared" si="6"/>
        <v>#VALUE!</v>
      </c>
    </row>
    <row r="410" spans="3:6" x14ac:dyDescent="0.3">
      <c r="C410" t="str">
        <f>IFERROR(VLOOKUP(B410,Inventory!A:G,2,FALSE),"")</f>
        <v/>
      </c>
      <c r="E410" t="str">
        <f>IFERROR(VLOOKUP(B410,Inventory!A:G,4,FALSE),"")</f>
        <v/>
      </c>
      <c r="F410" t="e">
        <f t="shared" si="6"/>
        <v>#VALUE!</v>
      </c>
    </row>
    <row r="411" spans="3:6" x14ac:dyDescent="0.3">
      <c r="C411" t="str">
        <f>IFERROR(VLOOKUP(B411,Inventory!A:G,2,FALSE),"")</f>
        <v/>
      </c>
      <c r="E411" t="str">
        <f>IFERROR(VLOOKUP(B411,Inventory!A:G,4,FALSE),"")</f>
        <v/>
      </c>
      <c r="F411" t="e">
        <f t="shared" si="6"/>
        <v>#VALUE!</v>
      </c>
    </row>
    <row r="412" spans="3:6" x14ac:dyDescent="0.3">
      <c r="C412" t="str">
        <f>IFERROR(VLOOKUP(B412,Inventory!A:G,2,FALSE),"")</f>
        <v/>
      </c>
      <c r="E412" t="str">
        <f>IFERROR(VLOOKUP(B412,Inventory!A:G,4,FALSE),"")</f>
        <v/>
      </c>
      <c r="F412" t="e">
        <f t="shared" si="6"/>
        <v>#VALUE!</v>
      </c>
    </row>
    <row r="413" spans="3:6" x14ac:dyDescent="0.3">
      <c r="C413" t="str">
        <f>IFERROR(VLOOKUP(B413,Inventory!A:G,2,FALSE),"")</f>
        <v/>
      </c>
      <c r="E413" t="str">
        <f>IFERROR(VLOOKUP(B413,Inventory!A:G,4,FALSE),"")</f>
        <v/>
      </c>
      <c r="F413" t="e">
        <f t="shared" si="6"/>
        <v>#VALUE!</v>
      </c>
    </row>
    <row r="414" spans="3:6" x14ac:dyDescent="0.3">
      <c r="C414" t="str">
        <f>IFERROR(VLOOKUP(B414,Inventory!A:G,2,FALSE),"")</f>
        <v/>
      </c>
      <c r="E414" t="str">
        <f>IFERROR(VLOOKUP(B414,Inventory!A:G,4,FALSE),"")</f>
        <v/>
      </c>
      <c r="F414" t="e">
        <f t="shared" si="6"/>
        <v>#VALUE!</v>
      </c>
    </row>
    <row r="415" spans="3:6" x14ac:dyDescent="0.3">
      <c r="C415" t="str">
        <f>IFERROR(VLOOKUP(B415,Inventory!A:G,2,FALSE),"")</f>
        <v/>
      </c>
      <c r="E415" t="str">
        <f>IFERROR(VLOOKUP(B415,Inventory!A:G,4,FALSE),"")</f>
        <v/>
      </c>
      <c r="F415" t="e">
        <f t="shared" si="6"/>
        <v>#VALUE!</v>
      </c>
    </row>
    <row r="416" spans="3:6" x14ac:dyDescent="0.3">
      <c r="C416" t="str">
        <f>IFERROR(VLOOKUP(B416,Inventory!A:G,2,FALSE),"")</f>
        <v/>
      </c>
      <c r="E416" t="str">
        <f>IFERROR(VLOOKUP(B416,Inventory!A:G,4,FALSE),"")</f>
        <v/>
      </c>
      <c r="F416" t="e">
        <f t="shared" si="6"/>
        <v>#VALUE!</v>
      </c>
    </row>
    <row r="417" spans="3:6" x14ac:dyDescent="0.3">
      <c r="C417" t="str">
        <f>IFERROR(VLOOKUP(B417,Inventory!A:G,2,FALSE),"")</f>
        <v/>
      </c>
      <c r="E417" t="str">
        <f>IFERROR(VLOOKUP(B417,Inventory!A:G,4,FALSE),"")</f>
        <v/>
      </c>
      <c r="F417" t="e">
        <f t="shared" si="6"/>
        <v>#VALUE!</v>
      </c>
    </row>
    <row r="418" spans="3:6" x14ac:dyDescent="0.3">
      <c r="C418" t="str">
        <f>IFERROR(VLOOKUP(B418,Inventory!A:G,2,FALSE),"")</f>
        <v/>
      </c>
      <c r="E418" t="str">
        <f>IFERROR(VLOOKUP(B418,Inventory!A:G,4,FALSE),"")</f>
        <v/>
      </c>
      <c r="F418" t="e">
        <f t="shared" si="6"/>
        <v>#VALUE!</v>
      </c>
    </row>
    <row r="419" spans="3:6" x14ac:dyDescent="0.3">
      <c r="C419" t="str">
        <f>IFERROR(VLOOKUP(B419,Inventory!A:G,2,FALSE),"")</f>
        <v/>
      </c>
      <c r="E419" t="str">
        <f>IFERROR(VLOOKUP(B419,Inventory!A:G,4,FALSE),"")</f>
        <v/>
      </c>
      <c r="F419" t="e">
        <f t="shared" si="6"/>
        <v>#VALUE!</v>
      </c>
    </row>
    <row r="420" spans="3:6" x14ac:dyDescent="0.3">
      <c r="C420" t="str">
        <f>IFERROR(VLOOKUP(B420,Inventory!A:G,2,FALSE),"")</f>
        <v/>
      </c>
      <c r="E420" t="str">
        <f>IFERROR(VLOOKUP(B420,Inventory!A:G,4,FALSE),"")</f>
        <v/>
      </c>
      <c r="F420" t="e">
        <f t="shared" si="6"/>
        <v>#VALUE!</v>
      </c>
    </row>
    <row r="421" spans="3:6" x14ac:dyDescent="0.3">
      <c r="C421" t="str">
        <f>IFERROR(VLOOKUP(B421,Inventory!A:G,2,FALSE),"")</f>
        <v/>
      </c>
      <c r="E421" t="str">
        <f>IFERROR(VLOOKUP(B421,Inventory!A:G,4,FALSE),"")</f>
        <v/>
      </c>
      <c r="F421" t="e">
        <f t="shared" si="6"/>
        <v>#VALUE!</v>
      </c>
    </row>
    <row r="422" spans="3:6" x14ac:dyDescent="0.3">
      <c r="C422" t="str">
        <f>IFERROR(VLOOKUP(B422,Inventory!A:G,2,FALSE),"")</f>
        <v/>
      </c>
      <c r="E422" t="str">
        <f>IFERROR(VLOOKUP(B422,Inventory!A:G,4,FALSE),"")</f>
        <v/>
      </c>
      <c r="F422" t="e">
        <f t="shared" si="6"/>
        <v>#VALUE!</v>
      </c>
    </row>
    <row r="423" spans="3:6" x14ac:dyDescent="0.3">
      <c r="C423" t="str">
        <f>IFERROR(VLOOKUP(B423,Inventory!A:G,2,FALSE),"")</f>
        <v/>
      </c>
      <c r="E423" t="str">
        <f>IFERROR(VLOOKUP(B423,Inventory!A:G,4,FALSE),"")</f>
        <v/>
      </c>
      <c r="F423" t="e">
        <f t="shared" si="6"/>
        <v>#VALUE!</v>
      </c>
    </row>
    <row r="424" spans="3:6" x14ac:dyDescent="0.3">
      <c r="C424" t="str">
        <f>IFERROR(VLOOKUP(B424,Inventory!A:G,2,FALSE),"")</f>
        <v/>
      </c>
      <c r="E424" t="str">
        <f>IFERROR(VLOOKUP(B424,Inventory!A:G,4,FALSE),"")</f>
        <v/>
      </c>
      <c r="F424" t="e">
        <f t="shared" si="6"/>
        <v>#VALUE!</v>
      </c>
    </row>
    <row r="425" spans="3:6" x14ac:dyDescent="0.3">
      <c r="C425" t="str">
        <f>IFERROR(VLOOKUP(B425,Inventory!A:G,2,FALSE),"")</f>
        <v/>
      </c>
      <c r="E425" t="str">
        <f>IFERROR(VLOOKUP(B425,Inventory!A:G,4,FALSE),"")</f>
        <v/>
      </c>
      <c r="F425" t="e">
        <f t="shared" si="6"/>
        <v>#VALUE!</v>
      </c>
    </row>
    <row r="426" spans="3:6" x14ac:dyDescent="0.3">
      <c r="C426" t="str">
        <f>IFERROR(VLOOKUP(B426,Inventory!A:G,2,FALSE),"")</f>
        <v/>
      </c>
      <c r="E426" t="str">
        <f>IFERROR(VLOOKUP(B426,Inventory!A:G,4,FALSE),"")</f>
        <v/>
      </c>
      <c r="F426" t="e">
        <f t="shared" si="6"/>
        <v>#VALUE!</v>
      </c>
    </row>
    <row r="427" spans="3:6" x14ac:dyDescent="0.3">
      <c r="C427" t="str">
        <f>IFERROR(VLOOKUP(B427,Inventory!A:G,2,FALSE),"")</f>
        <v/>
      </c>
      <c r="E427" t="str">
        <f>IFERROR(VLOOKUP(B427,Inventory!A:G,4,FALSE),"")</f>
        <v/>
      </c>
      <c r="F427" t="e">
        <f t="shared" si="6"/>
        <v>#VALUE!</v>
      </c>
    </row>
    <row r="428" spans="3:6" x14ac:dyDescent="0.3">
      <c r="C428" t="str">
        <f>IFERROR(VLOOKUP(B428,Inventory!A:G,2,FALSE),"")</f>
        <v/>
      </c>
      <c r="E428" t="str">
        <f>IFERROR(VLOOKUP(B428,Inventory!A:G,4,FALSE),"")</f>
        <v/>
      </c>
      <c r="F428" t="e">
        <f t="shared" si="6"/>
        <v>#VALUE!</v>
      </c>
    </row>
    <row r="429" spans="3:6" x14ac:dyDescent="0.3">
      <c r="C429" t="str">
        <f>IFERROR(VLOOKUP(B429,Inventory!A:G,2,FALSE),"")</f>
        <v/>
      </c>
      <c r="E429" t="str">
        <f>IFERROR(VLOOKUP(B429,Inventory!A:G,4,FALSE),"")</f>
        <v/>
      </c>
      <c r="F429" t="e">
        <f t="shared" si="6"/>
        <v>#VALUE!</v>
      </c>
    </row>
    <row r="430" spans="3:6" x14ac:dyDescent="0.3">
      <c r="C430" t="str">
        <f>IFERROR(VLOOKUP(B430,Inventory!A:G,2,FALSE),"")</f>
        <v/>
      </c>
      <c r="E430" t="str">
        <f>IFERROR(VLOOKUP(B430,Inventory!A:G,4,FALSE),"")</f>
        <v/>
      </c>
      <c r="F430" t="e">
        <f t="shared" si="6"/>
        <v>#VALUE!</v>
      </c>
    </row>
    <row r="431" spans="3:6" x14ac:dyDescent="0.3">
      <c r="C431" t="str">
        <f>IFERROR(VLOOKUP(B431,Inventory!A:G,2,FALSE),"")</f>
        <v/>
      </c>
      <c r="E431" t="str">
        <f>IFERROR(VLOOKUP(B431,Inventory!A:G,4,FALSE),"")</f>
        <v/>
      </c>
      <c r="F431" t="e">
        <f t="shared" si="6"/>
        <v>#VALUE!</v>
      </c>
    </row>
    <row r="432" spans="3:6" x14ac:dyDescent="0.3">
      <c r="C432" t="str">
        <f>IFERROR(VLOOKUP(B432,Inventory!A:G,2,FALSE),"")</f>
        <v/>
      </c>
      <c r="E432" t="str">
        <f>IFERROR(VLOOKUP(B432,Inventory!A:G,4,FALSE),"")</f>
        <v/>
      </c>
      <c r="F432" t="e">
        <f t="shared" si="6"/>
        <v>#VALUE!</v>
      </c>
    </row>
    <row r="433" spans="3:6" x14ac:dyDescent="0.3">
      <c r="C433" t="str">
        <f>IFERROR(VLOOKUP(B433,Inventory!A:G,2,FALSE),"")</f>
        <v/>
      </c>
      <c r="E433" t="str">
        <f>IFERROR(VLOOKUP(B433,Inventory!A:G,4,FALSE),"")</f>
        <v/>
      </c>
      <c r="F433" t="e">
        <f t="shared" si="6"/>
        <v>#VALUE!</v>
      </c>
    </row>
    <row r="434" spans="3:6" x14ac:dyDescent="0.3">
      <c r="C434" t="str">
        <f>IFERROR(VLOOKUP(B434,Inventory!A:G,2,FALSE),"")</f>
        <v/>
      </c>
      <c r="E434" t="str">
        <f>IFERROR(VLOOKUP(B434,Inventory!A:G,4,FALSE),"")</f>
        <v/>
      </c>
      <c r="F434" t="e">
        <f t="shared" si="6"/>
        <v>#VALUE!</v>
      </c>
    </row>
    <row r="435" spans="3:6" x14ac:dyDescent="0.3">
      <c r="C435" t="str">
        <f>IFERROR(VLOOKUP(B435,Inventory!A:G,2,FALSE),"")</f>
        <v/>
      </c>
      <c r="E435" t="str">
        <f>IFERROR(VLOOKUP(B435,Inventory!A:G,4,FALSE),"")</f>
        <v/>
      </c>
      <c r="F435" t="e">
        <f t="shared" si="6"/>
        <v>#VALUE!</v>
      </c>
    </row>
    <row r="436" spans="3:6" x14ac:dyDescent="0.3">
      <c r="C436" t="str">
        <f>IFERROR(VLOOKUP(B436,Inventory!A:G,2,FALSE),"")</f>
        <v/>
      </c>
      <c r="E436" t="str">
        <f>IFERROR(VLOOKUP(B436,Inventory!A:G,4,FALSE),"")</f>
        <v/>
      </c>
      <c r="F436" t="e">
        <f t="shared" si="6"/>
        <v>#VALUE!</v>
      </c>
    </row>
    <row r="437" spans="3:6" x14ac:dyDescent="0.3">
      <c r="C437" t="str">
        <f>IFERROR(VLOOKUP(B437,Inventory!A:G,2,FALSE),"")</f>
        <v/>
      </c>
      <c r="E437" t="str">
        <f>IFERROR(VLOOKUP(B437,Inventory!A:G,4,FALSE),"")</f>
        <v/>
      </c>
      <c r="F437" t="e">
        <f t="shared" si="6"/>
        <v>#VALUE!</v>
      </c>
    </row>
    <row r="438" spans="3:6" x14ac:dyDescent="0.3">
      <c r="C438" t="str">
        <f>IFERROR(VLOOKUP(B438,Inventory!A:G,2,FALSE),"")</f>
        <v/>
      </c>
      <c r="E438" t="str">
        <f>IFERROR(VLOOKUP(B438,Inventory!A:G,4,FALSE),"")</f>
        <v/>
      </c>
      <c r="F438" t="e">
        <f t="shared" si="6"/>
        <v>#VALUE!</v>
      </c>
    </row>
    <row r="439" spans="3:6" x14ac:dyDescent="0.3">
      <c r="C439" t="str">
        <f>IFERROR(VLOOKUP(B439,Inventory!A:G,2,FALSE),"")</f>
        <v/>
      </c>
      <c r="E439" t="str">
        <f>IFERROR(VLOOKUP(B439,Inventory!A:G,4,FALSE),"")</f>
        <v/>
      </c>
      <c r="F439" t="e">
        <f t="shared" si="6"/>
        <v>#VALUE!</v>
      </c>
    </row>
    <row r="440" spans="3:6" x14ac:dyDescent="0.3">
      <c r="C440" t="str">
        <f>IFERROR(VLOOKUP(B440,Inventory!A:G,2,FALSE),"")</f>
        <v/>
      </c>
      <c r="E440" t="str">
        <f>IFERROR(VLOOKUP(B440,Inventory!A:G,4,FALSE),"")</f>
        <v/>
      </c>
      <c r="F440" t="e">
        <f t="shared" si="6"/>
        <v>#VALUE!</v>
      </c>
    </row>
    <row r="441" spans="3:6" x14ac:dyDescent="0.3">
      <c r="C441" t="str">
        <f>IFERROR(VLOOKUP(B441,Inventory!A:G,2,FALSE),"")</f>
        <v/>
      </c>
      <c r="E441" t="str">
        <f>IFERROR(VLOOKUP(B441,Inventory!A:G,4,FALSE),"")</f>
        <v/>
      </c>
      <c r="F441" t="e">
        <f t="shared" si="6"/>
        <v>#VALUE!</v>
      </c>
    </row>
    <row r="442" spans="3:6" x14ac:dyDescent="0.3">
      <c r="C442" t="str">
        <f>IFERROR(VLOOKUP(B442,Inventory!A:G,2,FALSE),"")</f>
        <v/>
      </c>
      <c r="E442" t="str">
        <f>IFERROR(VLOOKUP(B442,Inventory!A:G,4,FALSE),"")</f>
        <v/>
      </c>
      <c r="F442" t="e">
        <f t="shared" si="6"/>
        <v>#VALUE!</v>
      </c>
    </row>
    <row r="443" spans="3:6" x14ac:dyDescent="0.3">
      <c r="C443" t="str">
        <f>IFERROR(VLOOKUP(B443,Inventory!A:G,2,FALSE),"")</f>
        <v/>
      </c>
      <c r="E443" t="str">
        <f>IFERROR(VLOOKUP(B443,Inventory!A:G,4,FALSE),"")</f>
        <v/>
      </c>
      <c r="F443" t="e">
        <f t="shared" si="6"/>
        <v>#VALUE!</v>
      </c>
    </row>
    <row r="444" spans="3:6" x14ac:dyDescent="0.3">
      <c r="C444" t="str">
        <f>IFERROR(VLOOKUP(B444,Inventory!A:G,2,FALSE),"")</f>
        <v/>
      </c>
      <c r="E444" t="str">
        <f>IFERROR(VLOOKUP(B444,Inventory!A:G,4,FALSE),"")</f>
        <v/>
      </c>
      <c r="F444" t="e">
        <f t="shared" si="6"/>
        <v>#VALUE!</v>
      </c>
    </row>
    <row r="445" spans="3:6" x14ac:dyDescent="0.3">
      <c r="C445" t="str">
        <f>IFERROR(VLOOKUP(B445,Inventory!A:G,2,FALSE),"")</f>
        <v/>
      </c>
      <c r="E445" t="str">
        <f>IFERROR(VLOOKUP(B445,Inventory!A:G,4,FALSE),"")</f>
        <v/>
      </c>
      <c r="F445" t="e">
        <f t="shared" si="6"/>
        <v>#VALUE!</v>
      </c>
    </row>
    <row r="446" spans="3:6" x14ac:dyDescent="0.3">
      <c r="C446" t="str">
        <f>IFERROR(VLOOKUP(B446,Inventory!A:G,2,FALSE),"")</f>
        <v/>
      </c>
      <c r="E446" t="str">
        <f>IFERROR(VLOOKUP(B446,Inventory!A:G,4,FALSE),"")</f>
        <v/>
      </c>
      <c r="F446" t="e">
        <f t="shared" si="6"/>
        <v>#VALUE!</v>
      </c>
    </row>
    <row r="447" spans="3:6" x14ac:dyDescent="0.3">
      <c r="C447" t="str">
        <f>IFERROR(VLOOKUP(B447,Inventory!A:G,2,FALSE),"")</f>
        <v/>
      </c>
      <c r="E447" t="str">
        <f>IFERROR(VLOOKUP(B447,Inventory!A:G,4,FALSE),"")</f>
        <v/>
      </c>
      <c r="F447" t="e">
        <f t="shared" si="6"/>
        <v>#VALUE!</v>
      </c>
    </row>
    <row r="448" spans="3:6" x14ac:dyDescent="0.3">
      <c r="C448" t="str">
        <f>IFERROR(VLOOKUP(B448,Inventory!A:G,2,FALSE),"")</f>
        <v/>
      </c>
      <c r="E448" t="str">
        <f>IFERROR(VLOOKUP(B448,Inventory!A:G,4,FALSE),"")</f>
        <v/>
      </c>
      <c r="F448" t="e">
        <f t="shared" si="6"/>
        <v>#VALUE!</v>
      </c>
    </row>
    <row r="449" spans="3:6" x14ac:dyDescent="0.3">
      <c r="C449" t="str">
        <f>IFERROR(VLOOKUP(B449,Inventory!A:G,2,FALSE),"")</f>
        <v/>
      </c>
      <c r="E449" t="str">
        <f>IFERROR(VLOOKUP(B449,Inventory!A:G,4,FALSE),"")</f>
        <v/>
      </c>
      <c r="F449" t="e">
        <f t="shared" si="6"/>
        <v>#VALUE!</v>
      </c>
    </row>
    <row r="450" spans="3:6" x14ac:dyDescent="0.3">
      <c r="C450" t="str">
        <f>IFERROR(VLOOKUP(B450,Inventory!A:G,2,FALSE),"")</f>
        <v/>
      </c>
      <c r="E450" t="str">
        <f>IFERROR(VLOOKUP(B450,Inventory!A:G,4,FALSE),"")</f>
        <v/>
      </c>
      <c r="F450" t="e">
        <f t="shared" ref="F450:F499" si="7">D450*E450</f>
        <v>#VALUE!</v>
      </c>
    </row>
    <row r="451" spans="3:6" x14ac:dyDescent="0.3">
      <c r="C451" t="str">
        <f>IFERROR(VLOOKUP(B451,Inventory!A:G,2,FALSE),"")</f>
        <v/>
      </c>
      <c r="E451" t="str">
        <f>IFERROR(VLOOKUP(B451,Inventory!A:G,4,FALSE),"")</f>
        <v/>
      </c>
      <c r="F451" t="e">
        <f t="shared" si="7"/>
        <v>#VALUE!</v>
      </c>
    </row>
    <row r="452" spans="3:6" x14ac:dyDescent="0.3">
      <c r="C452" t="str">
        <f>IFERROR(VLOOKUP(B452,Inventory!A:G,2,FALSE),"")</f>
        <v/>
      </c>
      <c r="E452" t="str">
        <f>IFERROR(VLOOKUP(B452,Inventory!A:G,4,FALSE),"")</f>
        <v/>
      </c>
      <c r="F452" t="e">
        <f t="shared" si="7"/>
        <v>#VALUE!</v>
      </c>
    </row>
    <row r="453" spans="3:6" x14ac:dyDescent="0.3">
      <c r="C453" t="str">
        <f>IFERROR(VLOOKUP(B453,Inventory!A:G,2,FALSE),"")</f>
        <v/>
      </c>
      <c r="E453" t="str">
        <f>IFERROR(VLOOKUP(B453,Inventory!A:G,4,FALSE),"")</f>
        <v/>
      </c>
      <c r="F453" t="e">
        <f t="shared" si="7"/>
        <v>#VALUE!</v>
      </c>
    </row>
    <row r="454" spans="3:6" x14ac:dyDescent="0.3">
      <c r="C454" t="str">
        <f>IFERROR(VLOOKUP(B454,Inventory!A:G,2,FALSE),"")</f>
        <v/>
      </c>
      <c r="E454" t="str">
        <f>IFERROR(VLOOKUP(B454,Inventory!A:G,4,FALSE),"")</f>
        <v/>
      </c>
      <c r="F454" t="e">
        <f t="shared" si="7"/>
        <v>#VALUE!</v>
      </c>
    </row>
    <row r="455" spans="3:6" x14ac:dyDescent="0.3">
      <c r="C455" t="str">
        <f>IFERROR(VLOOKUP(B455,Inventory!A:G,2,FALSE),"")</f>
        <v/>
      </c>
      <c r="E455" t="str">
        <f>IFERROR(VLOOKUP(B455,Inventory!A:G,4,FALSE),"")</f>
        <v/>
      </c>
      <c r="F455" t="e">
        <f t="shared" si="7"/>
        <v>#VALUE!</v>
      </c>
    </row>
    <row r="456" spans="3:6" x14ac:dyDescent="0.3">
      <c r="C456" t="str">
        <f>IFERROR(VLOOKUP(B456,Inventory!A:G,2,FALSE),"")</f>
        <v/>
      </c>
      <c r="E456" t="str">
        <f>IFERROR(VLOOKUP(B456,Inventory!A:G,4,FALSE),"")</f>
        <v/>
      </c>
      <c r="F456" t="e">
        <f t="shared" si="7"/>
        <v>#VALUE!</v>
      </c>
    </row>
    <row r="457" spans="3:6" x14ac:dyDescent="0.3">
      <c r="C457" t="str">
        <f>IFERROR(VLOOKUP(B457,Inventory!A:G,2,FALSE),"")</f>
        <v/>
      </c>
      <c r="E457" t="str">
        <f>IFERROR(VLOOKUP(B457,Inventory!A:G,4,FALSE),"")</f>
        <v/>
      </c>
      <c r="F457" t="e">
        <f t="shared" si="7"/>
        <v>#VALUE!</v>
      </c>
    </row>
    <row r="458" spans="3:6" x14ac:dyDescent="0.3">
      <c r="C458" t="str">
        <f>IFERROR(VLOOKUP(B458,Inventory!A:G,2,FALSE),"")</f>
        <v/>
      </c>
      <c r="E458" t="str">
        <f>IFERROR(VLOOKUP(B458,Inventory!A:G,4,FALSE),"")</f>
        <v/>
      </c>
      <c r="F458" t="e">
        <f t="shared" si="7"/>
        <v>#VALUE!</v>
      </c>
    </row>
    <row r="459" spans="3:6" x14ac:dyDescent="0.3">
      <c r="C459" t="str">
        <f>IFERROR(VLOOKUP(B459,Inventory!A:G,2,FALSE),"")</f>
        <v/>
      </c>
      <c r="E459" t="str">
        <f>IFERROR(VLOOKUP(B459,Inventory!A:G,4,FALSE),"")</f>
        <v/>
      </c>
      <c r="F459" t="e">
        <f t="shared" si="7"/>
        <v>#VALUE!</v>
      </c>
    </row>
    <row r="460" spans="3:6" x14ac:dyDescent="0.3">
      <c r="C460" t="str">
        <f>IFERROR(VLOOKUP(B460,Inventory!A:G,2,FALSE),"")</f>
        <v/>
      </c>
      <c r="E460" t="str">
        <f>IFERROR(VLOOKUP(B460,Inventory!A:G,4,FALSE),"")</f>
        <v/>
      </c>
      <c r="F460" t="e">
        <f t="shared" si="7"/>
        <v>#VALUE!</v>
      </c>
    </row>
    <row r="461" spans="3:6" x14ac:dyDescent="0.3">
      <c r="C461" t="str">
        <f>IFERROR(VLOOKUP(B461,Inventory!A:G,2,FALSE),"")</f>
        <v/>
      </c>
      <c r="E461" t="str">
        <f>IFERROR(VLOOKUP(B461,Inventory!A:G,4,FALSE),"")</f>
        <v/>
      </c>
      <c r="F461" t="e">
        <f t="shared" si="7"/>
        <v>#VALUE!</v>
      </c>
    </row>
    <row r="462" spans="3:6" x14ac:dyDescent="0.3">
      <c r="C462" t="str">
        <f>IFERROR(VLOOKUP(B462,Inventory!A:G,2,FALSE),"")</f>
        <v/>
      </c>
      <c r="E462" t="str">
        <f>IFERROR(VLOOKUP(B462,Inventory!A:G,4,FALSE),"")</f>
        <v/>
      </c>
      <c r="F462" t="e">
        <f t="shared" si="7"/>
        <v>#VALUE!</v>
      </c>
    </row>
    <row r="463" spans="3:6" x14ac:dyDescent="0.3">
      <c r="C463" t="str">
        <f>IFERROR(VLOOKUP(B463,Inventory!A:G,2,FALSE),"")</f>
        <v/>
      </c>
      <c r="E463" t="str">
        <f>IFERROR(VLOOKUP(B463,Inventory!A:G,4,FALSE),"")</f>
        <v/>
      </c>
      <c r="F463" t="e">
        <f t="shared" si="7"/>
        <v>#VALUE!</v>
      </c>
    </row>
    <row r="464" spans="3:6" x14ac:dyDescent="0.3">
      <c r="C464" t="str">
        <f>IFERROR(VLOOKUP(B464,Inventory!A:G,2,FALSE),"")</f>
        <v/>
      </c>
      <c r="E464" t="str">
        <f>IFERROR(VLOOKUP(B464,Inventory!A:G,4,FALSE),"")</f>
        <v/>
      </c>
      <c r="F464" t="e">
        <f t="shared" si="7"/>
        <v>#VALUE!</v>
      </c>
    </row>
    <row r="465" spans="3:6" x14ac:dyDescent="0.3">
      <c r="C465" t="str">
        <f>IFERROR(VLOOKUP(B465,Inventory!A:G,2,FALSE),"")</f>
        <v/>
      </c>
      <c r="E465" t="str">
        <f>IFERROR(VLOOKUP(B465,Inventory!A:G,4,FALSE),"")</f>
        <v/>
      </c>
      <c r="F465" t="e">
        <f t="shared" si="7"/>
        <v>#VALUE!</v>
      </c>
    </row>
    <row r="466" spans="3:6" x14ac:dyDescent="0.3">
      <c r="C466" t="str">
        <f>IFERROR(VLOOKUP(B466,Inventory!A:G,2,FALSE),"")</f>
        <v/>
      </c>
      <c r="E466" t="str">
        <f>IFERROR(VLOOKUP(B466,Inventory!A:G,4,FALSE),"")</f>
        <v/>
      </c>
      <c r="F466" t="e">
        <f t="shared" si="7"/>
        <v>#VALUE!</v>
      </c>
    </row>
    <row r="467" spans="3:6" x14ac:dyDescent="0.3">
      <c r="C467" t="str">
        <f>IFERROR(VLOOKUP(B467,Inventory!A:G,2,FALSE),"")</f>
        <v/>
      </c>
      <c r="E467" t="str">
        <f>IFERROR(VLOOKUP(B467,Inventory!A:G,4,FALSE),"")</f>
        <v/>
      </c>
      <c r="F467" t="e">
        <f t="shared" si="7"/>
        <v>#VALUE!</v>
      </c>
    </row>
    <row r="468" spans="3:6" x14ac:dyDescent="0.3">
      <c r="C468" t="str">
        <f>IFERROR(VLOOKUP(B468,Inventory!A:G,2,FALSE),"")</f>
        <v/>
      </c>
      <c r="E468" t="str">
        <f>IFERROR(VLOOKUP(B468,Inventory!A:G,4,FALSE),"")</f>
        <v/>
      </c>
      <c r="F468" t="e">
        <f t="shared" si="7"/>
        <v>#VALUE!</v>
      </c>
    </row>
    <row r="469" spans="3:6" x14ac:dyDescent="0.3">
      <c r="C469" t="str">
        <f>IFERROR(VLOOKUP(B469,Inventory!A:G,2,FALSE),"")</f>
        <v/>
      </c>
      <c r="E469" t="str">
        <f>IFERROR(VLOOKUP(B469,Inventory!A:G,4,FALSE),"")</f>
        <v/>
      </c>
      <c r="F469" t="e">
        <f t="shared" si="7"/>
        <v>#VALUE!</v>
      </c>
    </row>
    <row r="470" spans="3:6" x14ac:dyDescent="0.3">
      <c r="C470" t="str">
        <f>IFERROR(VLOOKUP(B470,Inventory!A:G,2,FALSE),"")</f>
        <v/>
      </c>
      <c r="E470" t="str">
        <f>IFERROR(VLOOKUP(B470,Inventory!A:G,4,FALSE),"")</f>
        <v/>
      </c>
      <c r="F470" t="e">
        <f t="shared" si="7"/>
        <v>#VALUE!</v>
      </c>
    </row>
    <row r="471" spans="3:6" x14ac:dyDescent="0.3">
      <c r="C471" t="str">
        <f>IFERROR(VLOOKUP(B471,Inventory!A:G,2,FALSE),"")</f>
        <v/>
      </c>
      <c r="E471" t="str">
        <f>IFERROR(VLOOKUP(B471,Inventory!A:G,4,FALSE),"")</f>
        <v/>
      </c>
      <c r="F471" t="e">
        <f t="shared" si="7"/>
        <v>#VALUE!</v>
      </c>
    </row>
    <row r="472" spans="3:6" x14ac:dyDescent="0.3">
      <c r="C472" t="str">
        <f>IFERROR(VLOOKUP(B472,Inventory!A:G,2,FALSE),"")</f>
        <v/>
      </c>
      <c r="E472" t="str">
        <f>IFERROR(VLOOKUP(B472,Inventory!A:G,4,FALSE),"")</f>
        <v/>
      </c>
      <c r="F472" t="e">
        <f t="shared" si="7"/>
        <v>#VALUE!</v>
      </c>
    </row>
    <row r="473" spans="3:6" x14ac:dyDescent="0.3">
      <c r="C473" t="str">
        <f>IFERROR(VLOOKUP(B473,Inventory!A:G,2,FALSE),"")</f>
        <v/>
      </c>
      <c r="E473" t="str">
        <f>IFERROR(VLOOKUP(B473,Inventory!A:G,4,FALSE),"")</f>
        <v/>
      </c>
      <c r="F473" t="e">
        <f t="shared" si="7"/>
        <v>#VALUE!</v>
      </c>
    </row>
    <row r="474" spans="3:6" x14ac:dyDescent="0.3">
      <c r="C474" t="str">
        <f>IFERROR(VLOOKUP(B474,Inventory!A:G,2,FALSE),"")</f>
        <v/>
      </c>
      <c r="E474" t="str">
        <f>IFERROR(VLOOKUP(B474,Inventory!A:G,4,FALSE),"")</f>
        <v/>
      </c>
      <c r="F474" t="e">
        <f t="shared" si="7"/>
        <v>#VALUE!</v>
      </c>
    </row>
    <row r="475" spans="3:6" x14ac:dyDescent="0.3">
      <c r="C475" t="str">
        <f>IFERROR(VLOOKUP(B475,Inventory!A:G,2,FALSE),"")</f>
        <v/>
      </c>
      <c r="E475" t="str">
        <f>IFERROR(VLOOKUP(B475,Inventory!A:G,4,FALSE),"")</f>
        <v/>
      </c>
      <c r="F475" t="e">
        <f t="shared" si="7"/>
        <v>#VALUE!</v>
      </c>
    </row>
    <row r="476" spans="3:6" x14ac:dyDescent="0.3">
      <c r="C476" t="str">
        <f>IFERROR(VLOOKUP(B476,Inventory!A:G,2,FALSE),"")</f>
        <v/>
      </c>
      <c r="E476" t="str">
        <f>IFERROR(VLOOKUP(B476,Inventory!A:G,4,FALSE),"")</f>
        <v/>
      </c>
      <c r="F476" t="e">
        <f t="shared" si="7"/>
        <v>#VALUE!</v>
      </c>
    </row>
    <row r="477" spans="3:6" x14ac:dyDescent="0.3">
      <c r="C477" t="str">
        <f>IFERROR(VLOOKUP(B477,Inventory!A:G,2,FALSE),"")</f>
        <v/>
      </c>
      <c r="E477" t="str">
        <f>IFERROR(VLOOKUP(B477,Inventory!A:G,4,FALSE),"")</f>
        <v/>
      </c>
      <c r="F477" t="e">
        <f t="shared" si="7"/>
        <v>#VALUE!</v>
      </c>
    </row>
    <row r="478" spans="3:6" x14ac:dyDescent="0.3">
      <c r="C478" t="str">
        <f>IFERROR(VLOOKUP(B478,Inventory!A:G,2,FALSE),"")</f>
        <v/>
      </c>
      <c r="E478" t="str">
        <f>IFERROR(VLOOKUP(B478,Inventory!A:G,4,FALSE),"")</f>
        <v/>
      </c>
      <c r="F478" t="e">
        <f t="shared" si="7"/>
        <v>#VALUE!</v>
      </c>
    </row>
    <row r="479" spans="3:6" x14ac:dyDescent="0.3">
      <c r="C479" t="str">
        <f>IFERROR(VLOOKUP(B479,Inventory!A:G,2,FALSE),"")</f>
        <v/>
      </c>
      <c r="E479" t="str">
        <f>IFERROR(VLOOKUP(B479,Inventory!A:G,4,FALSE),"")</f>
        <v/>
      </c>
      <c r="F479" t="e">
        <f t="shared" si="7"/>
        <v>#VALUE!</v>
      </c>
    </row>
    <row r="480" spans="3:6" x14ac:dyDescent="0.3">
      <c r="C480" t="str">
        <f>IFERROR(VLOOKUP(B480,Inventory!A:G,2,FALSE),"")</f>
        <v/>
      </c>
      <c r="E480" t="str">
        <f>IFERROR(VLOOKUP(B480,Inventory!A:G,4,FALSE),"")</f>
        <v/>
      </c>
      <c r="F480" t="e">
        <f t="shared" si="7"/>
        <v>#VALUE!</v>
      </c>
    </row>
    <row r="481" spans="3:6" x14ac:dyDescent="0.3">
      <c r="C481" t="str">
        <f>IFERROR(VLOOKUP(B481,Inventory!A:G,2,FALSE),"")</f>
        <v/>
      </c>
      <c r="E481" t="str">
        <f>IFERROR(VLOOKUP(B481,Inventory!A:G,4,FALSE),"")</f>
        <v/>
      </c>
      <c r="F481" t="e">
        <f t="shared" si="7"/>
        <v>#VALUE!</v>
      </c>
    </row>
    <row r="482" spans="3:6" x14ac:dyDescent="0.3">
      <c r="C482" t="str">
        <f>IFERROR(VLOOKUP(B482,Inventory!A:G,2,FALSE),"")</f>
        <v/>
      </c>
      <c r="E482" t="str">
        <f>IFERROR(VLOOKUP(B482,Inventory!A:G,4,FALSE),"")</f>
        <v/>
      </c>
      <c r="F482" t="e">
        <f t="shared" si="7"/>
        <v>#VALUE!</v>
      </c>
    </row>
    <row r="483" spans="3:6" x14ac:dyDescent="0.3">
      <c r="C483" t="str">
        <f>IFERROR(VLOOKUP(B483,Inventory!A:G,2,FALSE),"")</f>
        <v/>
      </c>
      <c r="E483" t="str">
        <f>IFERROR(VLOOKUP(B483,Inventory!A:G,4,FALSE),"")</f>
        <v/>
      </c>
      <c r="F483" t="e">
        <f t="shared" si="7"/>
        <v>#VALUE!</v>
      </c>
    </row>
    <row r="484" spans="3:6" x14ac:dyDescent="0.3">
      <c r="C484" t="str">
        <f>IFERROR(VLOOKUP(B484,Inventory!A:G,2,FALSE),"")</f>
        <v/>
      </c>
      <c r="E484" t="str">
        <f>IFERROR(VLOOKUP(B484,Inventory!A:G,4,FALSE),"")</f>
        <v/>
      </c>
      <c r="F484" t="e">
        <f t="shared" si="7"/>
        <v>#VALUE!</v>
      </c>
    </row>
    <row r="485" spans="3:6" x14ac:dyDescent="0.3">
      <c r="C485" t="str">
        <f>IFERROR(VLOOKUP(B485,Inventory!A:G,2,FALSE),"")</f>
        <v/>
      </c>
      <c r="E485" t="str">
        <f>IFERROR(VLOOKUP(B485,Inventory!A:G,4,FALSE),"")</f>
        <v/>
      </c>
      <c r="F485" t="e">
        <f t="shared" si="7"/>
        <v>#VALUE!</v>
      </c>
    </row>
    <row r="486" spans="3:6" x14ac:dyDescent="0.3">
      <c r="C486" t="str">
        <f>IFERROR(VLOOKUP(B486,Inventory!A:G,2,FALSE),"")</f>
        <v/>
      </c>
      <c r="E486" t="str">
        <f>IFERROR(VLOOKUP(B486,Inventory!A:G,4,FALSE),"")</f>
        <v/>
      </c>
      <c r="F486" t="e">
        <f t="shared" si="7"/>
        <v>#VALUE!</v>
      </c>
    </row>
    <row r="487" spans="3:6" x14ac:dyDescent="0.3">
      <c r="C487" t="str">
        <f>IFERROR(VLOOKUP(B487,Inventory!A:G,2,FALSE),"")</f>
        <v/>
      </c>
      <c r="E487" t="str">
        <f>IFERROR(VLOOKUP(B487,Inventory!A:G,4,FALSE),"")</f>
        <v/>
      </c>
      <c r="F487" t="e">
        <f t="shared" si="7"/>
        <v>#VALUE!</v>
      </c>
    </row>
    <row r="488" spans="3:6" x14ac:dyDescent="0.3">
      <c r="C488" t="str">
        <f>IFERROR(VLOOKUP(B488,Inventory!A:G,2,FALSE),"")</f>
        <v/>
      </c>
      <c r="E488" t="str">
        <f>IFERROR(VLOOKUP(B488,Inventory!A:G,4,FALSE),"")</f>
        <v/>
      </c>
      <c r="F488" t="e">
        <f t="shared" si="7"/>
        <v>#VALUE!</v>
      </c>
    </row>
    <row r="489" spans="3:6" x14ac:dyDescent="0.3">
      <c r="C489" t="str">
        <f>IFERROR(VLOOKUP(B489,Inventory!A:G,2,FALSE),"")</f>
        <v/>
      </c>
      <c r="E489" t="str">
        <f>IFERROR(VLOOKUP(B489,Inventory!A:G,4,FALSE),"")</f>
        <v/>
      </c>
      <c r="F489" t="e">
        <f t="shared" si="7"/>
        <v>#VALUE!</v>
      </c>
    </row>
    <row r="490" spans="3:6" x14ac:dyDescent="0.3">
      <c r="C490" t="str">
        <f>IFERROR(VLOOKUP(B490,Inventory!A:G,2,FALSE),"")</f>
        <v/>
      </c>
      <c r="E490" t="str">
        <f>IFERROR(VLOOKUP(B490,Inventory!A:G,4,FALSE),"")</f>
        <v/>
      </c>
      <c r="F490" t="e">
        <f t="shared" si="7"/>
        <v>#VALUE!</v>
      </c>
    </row>
    <row r="491" spans="3:6" x14ac:dyDescent="0.3">
      <c r="C491" t="str">
        <f>IFERROR(VLOOKUP(B491,Inventory!A:G,2,FALSE),"")</f>
        <v/>
      </c>
      <c r="E491" t="str">
        <f>IFERROR(VLOOKUP(B491,Inventory!A:G,4,FALSE),"")</f>
        <v/>
      </c>
      <c r="F491" t="e">
        <f t="shared" si="7"/>
        <v>#VALUE!</v>
      </c>
    </row>
    <row r="492" spans="3:6" x14ac:dyDescent="0.3">
      <c r="C492" t="str">
        <f>IFERROR(VLOOKUP(B492,Inventory!A:G,2,FALSE),"")</f>
        <v/>
      </c>
      <c r="E492" t="str">
        <f>IFERROR(VLOOKUP(B492,Inventory!A:G,4,FALSE),"")</f>
        <v/>
      </c>
      <c r="F492" t="e">
        <f t="shared" si="7"/>
        <v>#VALUE!</v>
      </c>
    </row>
    <row r="493" spans="3:6" x14ac:dyDescent="0.3">
      <c r="C493" t="str">
        <f>IFERROR(VLOOKUP(B493,Inventory!A:G,2,FALSE),"")</f>
        <v/>
      </c>
      <c r="E493" t="str">
        <f>IFERROR(VLOOKUP(B493,Inventory!A:G,4,FALSE),"")</f>
        <v/>
      </c>
      <c r="F493" t="e">
        <f t="shared" si="7"/>
        <v>#VALUE!</v>
      </c>
    </row>
    <row r="494" spans="3:6" x14ac:dyDescent="0.3">
      <c r="C494" t="str">
        <f>IFERROR(VLOOKUP(B494,Inventory!A:G,2,FALSE),"")</f>
        <v/>
      </c>
      <c r="E494" t="str">
        <f>IFERROR(VLOOKUP(B494,Inventory!A:G,4,FALSE),"")</f>
        <v/>
      </c>
      <c r="F494" t="e">
        <f t="shared" si="7"/>
        <v>#VALUE!</v>
      </c>
    </row>
    <row r="495" spans="3:6" x14ac:dyDescent="0.3">
      <c r="C495" t="str">
        <f>IFERROR(VLOOKUP(B495,Inventory!A:G,2,FALSE),"")</f>
        <v/>
      </c>
      <c r="E495" t="str">
        <f>IFERROR(VLOOKUP(B495,Inventory!A:G,4,FALSE),"")</f>
        <v/>
      </c>
      <c r="F495" t="e">
        <f t="shared" si="7"/>
        <v>#VALUE!</v>
      </c>
    </row>
    <row r="496" spans="3:6" x14ac:dyDescent="0.3">
      <c r="C496" t="str">
        <f>IFERROR(VLOOKUP(B496,Inventory!A:G,2,FALSE),"")</f>
        <v/>
      </c>
      <c r="E496" t="str">
        <f>IFERROR(VLOOKUP(B496,Inventory!A:G,4,FALSE),"")</f>
        <v/>
      </c>
      <c r="F496" t="e">
        <f t="shared" si="7"/>
        <v>#VALUE!</v>
      </c>
    </row>
    <row r="497" spans="3:6" x14ac:dyDescent="0.3">
      <c r="C497" t="str">
        <f>IFERROR(VLOOKUP(B497,Inventory!A:G,2,FALSE),"")</f>
        <v/>
      </c>
      <c r="E497" t="str">
        <f>IFERROR(VLOOKUP(B497,Inventory!A:G,4,FALSE),"")</f>
        <v/>
      </c>
      <c r="F497" t="e">
        <f t="shared" si="7"/>
        <v>#VALUE!</v>
      </c>
    </row>
    <row r="498" spans="3:6" x14ac:dyDescent="0.3">
      <c r="C498" t="str">
        <f>IFERROR(VLOOKUP(B498,Inventory!A:G,2,FALSE),"")</f>
        <v/>
      </c>
      <c r="E498" t="str">
        <f>IFERROR(VLOOKUP(B498,Inventory!A:G,4,FALSE),"")</f>
        <v/>
      </c>
      <c r="F498" t="e">
        <f t="shared" si="7"/>
        <v>#VALUE!</v>
      </c>
    </row>
    <row r="499" spans="3:6" x14ac:dyDescent="0.3">
      <c r="C499" t="str">
        <f>IFERROR(VLOOKUP(B499,Inventory!A:G,2,FALSE),"")</f>
        <v/>
      </c>
      <c r="E499" t="str">
        <f>IFERROR(VLOOKUP(B499,Inventory!A:G,4,FALSE),"")</f>
        <v/>
      </c>
      <c r="F499" t="e">
        <f t="shared" si="7"/>
        <v>#VALUE!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B2" sqref="B2"/>
    </sheetView>
  </sheetViews>
  <sheetFormatPr defaultRowHeight="14.4" x14ac:dyDescent="0.3"/>
  <sheetData>
    <row r="1" spans="1:4" x14ac:dyDescent="0.3">
      <c r="A1" s="1" t="s">
        <v>8</v>
      </c>
      <c r="B1" s="1" t="s">
        <v>15</v>
      </c>
      <c r="C1" s="1" t="s">
        <v>16</v>
      </c>
      <c r="D1" s="1" t="s">
        <v>17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8" sqref="B8"/>
    </sheetView>
  </sheetViews>
  <sheetFormatPr defaultRowHeight="14.4" x14ac:dyDescent="0.3"/>
  <sheetData>
    <row r="1" spans="1:2" ht="18" x14ac:dyDescent="0.35">
      <c r="A1" s="2" t="s">
        <v>18</v>
      </c>
    </row>
    <row r="3" spans="1:2" x14ac:dyDescent="0.3">
      <c r="A3" t="s">
        <v>19</v>
      </c>
      <c r="B3" t="e">
        <f>SUM(Sales!F2:F500)</f>
        <v>#VALUE!</v>
      </c>
    </row>
    <row r="4" spans="1:2" x14ac:dyDescent="0.3">
      <c r="A4" t="s">
        <v>20</v>
      </c>
      <c r="B4">
        <f>SUM(Expenses!C2:C500)</f>
        <v>0</v>
      </c>
    </row>
    <row r="5" spans="1:2" x14ac:dyDescent="0.3">
      <c r="A5" t="s">
        <v>21</v>
      </c>
      <c r="B5" t="e">
        <f>B3-B4</f>
        <v>#VALUE!</v>
      </c>
    </row>
    <row r="7" spans="1:2" x14ac:dyDescent="0.3">
      <c r="A7" t="s">
        <v>22</v>
      </c>
    </row>
    <row r="8" spans="1:2" x14ac:dyDescent="0.3">
      <c r="A8" t="s">
        <v>41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activeCell="C5" sqref="C5"/>
    </sheetView>
  </sheetViews>
  <sheetFormatPr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 t="e">
        <f>SUM(Sales!F:F)</f>
        <v>#VALUE!</v>
      </c>
    </row>
    <row r="3" spans="1:2" x14ac:dyDescent="0.3">
      <c r="A3" t="s">
        <v>26</v>
      </c>
      <c r="B3" t="e">
        <f>SUM(Sales!F:F)</f>
        <v>#VALUE!</v>
      </c>
    </row>
    <row r="4" spans="1:2" x14ac:dyDescent="0.3">
      <c r="A4" t="s">
        <v>27</v>
      </c>
      <c r="B4" t="e">
        <f>SUM(Sales!F:F)</f>
        <v>#VALUE!</v>
      </c>
    </row>
    <row r="5" spans="1:2" x14ac:dyDescent="0.3">
      <c r="A5" t="s">
        <v>28</v>
      </c>
      <c r="B5" t="e">
        <f>SUM(Sales!F:F)</f>
        <v>#VALUE!</v>
      </c>
    </row>
    <row r="6" spans="1:2" x14ac:dyDescent="0.3">
      <c r="A6" t="s">
        <v>29</v>
      </c>
      <c r="B6" t="e">
        <f>SUM(Sales!F:F)</f>
        <v>#VALUE!</v>
      </c>
    </row>
    <row r="7" spans="1:2" x14ac:dyDescent="0.3">
      <c r="A7" t="s">
        <v>30</v>
      </c>
      <c r="B7" t="e">
        <f>SUM(Sales!F:F)</f>
        <v>#VALUE!</v>
      </c>
    </row>
    <row r="8" spans="1:2" x14ac:dyDescent="0.3">
      <c r="A8" t="s">
        <v>31</v>
      </c>
      <c r="B8" t="e">
        <f>SUM(Sales!F:F)</f>
        <v>#VALUE!</v>
      </c>
    </row>
    <row r="9" spans="1:2" x14ac:dyDescent="0.3">
      <c r="A9" t="s">
        <v>32</v>
      </c>
      <c r="B9" t="e">
        <f>SUM(Sales!F:F)</f>
        <v>#VALUE!</v>
      </c>
    </row>
    <row r="10" spans="1:2" x14ac:dyDescent="0.3">
      <c r="A10" t="s">
        <v>33</v>
      </c>
      <c r="B10" t="e">
        <f>SUM(Sales!F:F)</f>
        <v>#VALUE!</v>
      </c>
    </row>
    <row r="11" spans="1:2" x14ac:dyDescent="0.3">
      <c r="A11" t="s">
        <v>34</v>
      </c>
      <c r="B11" t="e">
        <f>SUM(Sales!F:F)</f>
        <v>#VALUE!</v>
      </c>
    </row>
    <row r="12" spans="1:2" x14ac:dyDescent="0.3">
      <c r="A12" t="s">
        <v>35</v>
      </c>
      <c r="B12" t="e">
        <f>SUM(Sales!F:F)</f>
        <v>#VALUE!</v>
      </c>
    </row>
    <row r="13" spans="1:2" x14ac:dyDescent="0.3">
      <c r="A13" t="s">
        <v>36</v>
      </c>
      <c r="B13" t="e">
        <f>SUM(Sales!F:F)</f>
        <v>#VALUE!</v>
      </c>
    </row>
  </sheetData>
  <pageMargins left="0.75" right="0.75" top="1" bottom="1" header="0.5" footer="0.5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C6" sqref="C6"/>
    </sheetView>
  </sheetViews>
  <sheetFormatPr defaultRowHeight="14.4" x14ac:dyDescent="0.3"/>
  <sheetData>
    <row r="1" spans="1:2" ht="18" x14ac:dyDescent="0.35">
      <c r="A1" s="2" t="s">
        <v>37</v>
      </c>
    </row>
    <row r="3" spans="1:2" x14ac:dyDescent="0.3">
      <c r="A3" t="s">
        <v>0</v>
      </c>
      <c r="B3" t="s">
        <v>40</v>
      </c>
    </row>
    <row r="4" spans="1:2" x14ac:dyDescent="0.3">
      <c r="A4" t="s">
        <v>13</v>
      </c>
      <c r="B4">
        <v>2</v>
      </c>
    </row>
    <row r="5" spans="1:2" x14ac:dyDescent="0.3">
      <c r="A5" t="s">
        <v>38</v>
      </c>
      <c r="B5" t="str">
        <f>IFERROR(VLOOKUP(B3,Inventory!A:G,5,FALSE),"")</f>
        <v/>
      </c>
    </row>
    <row r="6" spans="1:2" x14ac:dyDescent="0.3">
      <c r="A6" t="s">
        <v>39</v>
      </c>
      <c r="B6" t="e">
        <f>B4*B5</f>
        <v>#VALUE!</v>
      </c>
    </row>
  </sheetData>
  <pageMargins left="0.75" right="0.75" top="1" bottom="1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Inventory!#REF!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Inventory</vt:lpstr>
      <vt:lpstr>Sales</vt:lpstr>
      <vt:lpstr>Purchases</vt:lpstr>
      <vt:lpstr>Expenses</vt:lpstr>
      <vt:lpstr>Dashboard</vt:lpstr>
      <vt:lpstr>Monthly Analysis</vt:lpstr>
      <vt:lpstr>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Shadrack Appiah</cp:lastModifiedBy>
  <cp:lastPrinted>2026-04-18T00:29:19Z</cp:lastPrinted>
  <dcterms:created xsi:type="dcterms:W3CDTF">2026-04-15T05:09:35Z</dcterms:created>
  <dcterms:modified xsi:type="dcterms:W3CDTF">2026-04-18T00:41:31Z</dcterms:modified>
</cp:coreProperties>
</file>